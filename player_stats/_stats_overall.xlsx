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-120" yWindow="-120" windowWidth="29040" windowHeight="15720" tabRatio="600" firstSheet="7" activeTab="9" autoFilterDateGrouping="1"/>
  </bookViews>
  <sheets>
    <sheet xmlns:r="http://schemas.openxmlformats.org/officeDocument/2006/relationships" name="12-13" sheetId="1" state="visible" r:id="rId1"/>
    <sheet xmlns:r="http://schemas.openxmlformats.org/officeDocument/2006/relationships" name="13-14" sheetId="2" state="visible" r:id="rId2"/>
    <sheet xmlns:r="http://schemas.openxmlformats.org/officeDocument/2006/relationships" name="14-15" sheetId="3" state="visible" r:id="rId3"/>
    <sheet xmlns:r="http://schemas.openxmlformats.org/officeDocument/2006/relationships" name="15-16" sheetId="4" state="visible" r:id="rId4"/>
    <sheet xmlns:r="http://schemas.openxmlformats.org/officeDocument/2006/relationships" name="17-18" sheetId="5" state="visible" r:id="rId5"/>
    <sheet xmlns:r="http://schemas.openxmlformats.org/officeDocument/2006/relationships" name="21-22" sheetId="6" state="visible" r:id="rId6"/>
    <sheet xmlns:r="http://schemas.openxmlformats.org/officeDocument/2006/relationships" name="22-23" sheetId="7" state="visible" r:id="rId7"/>
    <sheet xmlns:r="http://schemas.openxmlformats.org/officeDocument/2006/relationships" name="23-24" sheetId="8" state="visible" r:id="rId8"/>
    <sheet xmlns:r="http://schemas.openxmlformats.org/officeDocument/2006/relationships" name="24-25" sheetId="9" state="visible" r:id="rId9"/>
    <sheet xmlns:r="http://schemas.openxmlformats.org/officeDocument/2006/relationships" name="25-26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28"/>
    </font>
    <font>
      <name val="Arial"/>
      <family val="2"/>
      <sz val="10"/>
    </font>
    <font>
      <name val="Arial"/>
      <family val="2"/>
      <sz val="8"/>
    </font>
    <font>
      <name val="Century Gothic"/>
      <family val="2"/>
      <b val="1"/>
      <color theme="3" tint="0.249977111117893"/>
      <sz val="18"/>
    </font>
    <font>
      <name val="Century Gothic"/>
      <family val="2"/>
      <color theme="1"/>
      <sz val="11"/>
    </font>
    <font>
      <name val="Century Gothic"/>
      <family val="2"/>
      <b val="1"/>
      <color theme="1"/>
      <sz val="14"/>
    </font>
    <font>
      <name val="Century Gothic"/>
      <family val="2"/>
      <b val="1"/>
      <color theme="1"/>
      <sz val="18"/>
    </font>
    <font>
      <name val="Century Gothic"/>
      <family val="2"/>
      <b val="1"/>
      <color theme="1"/>
      <sz val="11"/>
    </font>
    <font>
      <name val="Arial"/>
      <family val="2"/>
      <b val="1"/>
      <color rgb="FFC00000"/>
      <sz val="10"/>
    </font>
    <font>
      <name val="Arial"/>
      <family val="2"/>
      <b val="1"/>
      <sz val="10"/>
    </font>
    <font>
      <name val="Arial"/>
      <family val="2"/>
      <color rgb="FFFF0000"/>
      <sz val="10"/>
    </font>
    <font>
      <name val="Arial"/>
      <family val="2"/>
      <color rgb="FFBFBFBF"/>
      <sz val="10"/>
    </font>
    <font>
      <name val="Arial"/>
      <family val="2"/>
      <color rgb="FF2B2B2B"/>
      <sz val="10"/>
    </font>
    <font>
      <name val="Arial"/>
      <family val="2"/>
      <color rgb="FFBFBFBF"/>
      <sz val="8"/>
    </font>
    <font>
      <name val="Arial"/>
      <family val="2"/>
      <color rgb="FF2B2B2B"/>
      <sz val="8"/>
    </font>
    <font>
      <name val="Arial"/>
      <b val="1"/>
      <color rgb="FF9C0006"/>
      <sz val="10"/>
    </font>
    <font>
      <b val="1"/>
      <color rgb="009C0006"/>
    </font>
  </fonts>
  <fills count="1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</patternFill>
    </fill>
    <fill>
      <patternFill patternType="solid">
        <fgColor rgb="FFEDEDED"/>
      </patternFill>
    </fill>
    <fill>
      <patternFill patternType="solid">
        <fgColor rgb="00FFFFFF"/>
      </patternFill>
    </fill>
    <fill>
      <patternFill patternType="solid">
        <fgColor rgb="00EDEDED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textRotation="90" wrapText="1"/>
    </xf>
    <xf numFmtId="0" fontId="4" fillId="0" borderId="0" applyAlignment="1" pivotButton="0" quotePrefix="0" xfId="0">
      <alignment horizontal="center" textRotation="90" wrapText="1"/>
    </xf>
    <xf numFmtId="0" fontId="0" fillId="2" borderId="0" pivotButton="0" quotePrefix="0" xfId="0"/>
    <xf numFmtId="0" fontId="1" fillId="2" borderId="0" pivotButton="0" quotePrefix="0" xfId="0"/>
    <xf numFmtId="0" fontId="1" fillId="0" borderId="1" applyAlignment="1" pivotButton="0" quotePrefix="0" xfId="0">
      <alignment textRotation="90"/>
    </xf>
    <xf numFmtId="0" fontId="1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4" fillId="2" borderId="0" applyAlignment="1" pivotButton="0" quotePrefix="0" xfId="0">
      <alignment horizontal="center" textRotation="90" wrapText="1"/>
    </xf>
    <xf numFmtId="0" fontId="4" fillId="0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 wrapText="1"/>
    </xf>
    <xf numFmtId="0" fontId="0" fillId="3" borderId="0" pivotButton="0" quotePrefix="0" xfId="0"/>
    <xf numFmtId="0" fontId="4" fillId="3" borderId="0" applyAlignment="1" pivotButton="0" quotePrefix="0" xfId="0">
      <alignment horizontal="center" wrapText="1"/>
    </xf>
    <xf numFmtId="0" fontId="1" fillId="3" borderId="0" pivotButton="0" quotePrefix="0" xfId="0"/>
    <xf numFmtId="0" fontId="0" fillId="4" borderId="0" pivotButton="0" quotePrefix="0" xfId="0"/>
    <xf numFmtId="0" fontId="4" fillId="4" borderId="0" applyAlignment="1" pivotButton="0" quotePrefix="0" xfId="0">
      <alignment horizontal="center" wrapText="1"/>
    </xf>
    <xf numFmtId="0" fontId="1" fillId="4" borderId="0" pivotButton="0" quotePrefix="0" xfId="0"/>
    <xf numFmtId="0" fontId="3" fillId="2" borderId="0" pivotButton="0" quotePrefix="0" xfId="0"/>
    <xf numFmtId="0" fontId="3" fillId="5" borderId="0" pivotButton="0" quotePrefix="0" xfId="0"/>
    <xf numFmtId="0" fontId="0" fillId="5" borderId="0" pivotButton="0" quotePrefix="0" xfId="0"/>
    <xf numFmtId="0" fontId="4" fillId="5" borderId="0" applyAlignment="1" pivotButton="0" quotePrefix="0" xfId="0">
      <alignment horizontal="center" wrapText="1"/>
    </xf>
    <xf numFmtId="0" fontId="1" fillId="5" borderId="0" pivotButton="0" quotePrefix="0" xfId="0"/>
    <xf numFmtId="0" fontId="0" fillId="6" borderId="0" pivotButton="0" quotePrefix="0" xfId="0"/>
    <xf numFmtId="0" fontId="4" fillId="6" borderId="0" applyAlignment="1" pivotButton="0" quotePrefix="0" xfId="0">
      <alignment horizontal="center" wrapText="1"/>
    </xf>
    <xf numFmtId="0" fontId="1" fillId="6" borderId="0" pivotButton="0" quotePrefix="0" xfId="0"/>
    <xf numFmtId="0" fontId="6" fillId="7" borderId="0" applyProtection="1" pivotButton="0" quotePrefix="0" xfId="0">
      <protection locked="1" hidden="1"/>
    </xf>
    <xf numFmtId="0" fontId="8" fillId="7" borderId="0" applyAlignment="1" applyProtection="1" pivotButton="0" quotePrefix="0" xfId="0">
      <alignment horizontal="center" vertical="center"/>
      <protection locked="1" hidden="1"/>
    </xf>
    <xf numFmtId="0" fontId="9" fillId="7" borderId="0" applyAlignment="1" applyProtection="1" pivotButton="0" quotePrefix="0" xfId="0">
      <alignment horizontal="center" vertical="center"/>
      <protection locked="1" hidden="1"/>
    </xf>
    <xf numFmtId="0" fontId="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5" fillId="7" borderId="0" applyAlignment="1" applyProtection="1" pivotButton="0" quotePrefix="0" xfId="0">
      <alignment horizontal="left" vertical="center"/>
      <protection locked="1" hidden="1"/>
    </xf>
    <xf numFmtId="0" fontId="7" fillId="7" borderId="0" applyAlignment="1" applyProtection="1" pivotButton="0" quotePrefix="0" xfId="0">
      <alignment vertical="center"/>
      <protection locked="1" hidden="1"/>
    </xf>
    <xf numFmtId="0" fontId="5" fillId="7" borderId="0" applyAlignment="1" applyProtection="1" pivotButton="0" quotePrefix="0" xfId="0">
      <alignment vertical="center"/>
      <protection locked="1" hidden="1"/>
    </xf>
    <xf numFmtId="0" fontId="9" fillId="7" borderId="0" applyProtection="1" pivotButton="0" quotePrefix="0" xfId="0">
      <protection locked="1" hidden="1"/>
    </xf>
    <xf numFmtId="0" fontId="0" fillId="7" borderId="0" pivotButton="0" quotePrefix="0" xfId="0"/>
    <xf numFmtId="0" fontId="11" fillId="7" borderId="0" pivotButton="0" quotePrefix="0" xfId="0"/>
    <xf numFmtId="0" fontId="7" fillId="7" borderId="0" applyAlignment="1" applyProtection="1" pivotButton="0" quotePrefix="0" xfId="0">
      <alignment horizontal="center" vertical="center"/>
      <protection locked="1" hidden="1"/>
    </xf>
    <xf numFmtId="0" fontId="0" fillId="0" borderId="8" pivotButton="0" quotePrefix="0" xfId="0"/>
    <xf numFmtId="0" fontId="0" fillId="0" borderId="0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3" fillId="0" borderId="8" applyAlignment="1" pivotButton="0" quotePrefix="0" xfId="0">
      <alignment textRotation="90"/>
    </xf>
    <xf numFmtId="0" fontId="3" fillId="0" borderId="0" applyAlignment="1" pivotButton="0" quotePrefix="0" xfId="0">
      <alignment textRotation="90"/>
    </xf>
    <xf numFmtId="0" fontId="0" fillId="0" borderId="9" applyAlignment="1" pivotButton="0" quotePrefix="0" xfId="0">
      <alignment textRotation="90"/>
    </xf>
    <xf numFmtId="0" fontId="0" fillId="0" borderId="10" pivotButton="0" quotePrefix="0" xfId="0"/>
    <xf numFmtId="0" fontId="0" fillId="0" borderId="9" pivotButton="0" quotePrefix="0" xfId="0"/>
    <xf numFmtId="0" fontId="12" fillId="0" borderId="1" applyAlignment="1" pivotButton="0" quotePrefix="0" xfId="0">
      <alignment textRotation="90"/>
    </xf>
    <xf numFmtId="0" fontId="12" fillId="0" borderId="0" applyAlignment="1" pivotButton="0" quotePrefix="0" xfId="0">
      <alignment textRotation="90"/>
    </xf>
    <xf numFmtId="0" fontId="3" fillId="0" borderId="8" pivotButton="0" quotePrefix="0" xfId="0"/>
    <xf numFmtId="0" fontId="3" fillId="0" borderId="1" applyAlignment="1" pivotButton="0" quotePrefix="0" xfId="0">
      <alignment textRotation="90"/>
    </xf>
    <xf numFmtId="0" fontId="13" fillId="0" borderId="1" applyAlignment="1" pivotButton="0" quotePrefix="0" xfId="0">
      <alignment textRotation="90"/>
    </xf>
    <xf numFmtId="0" fontId="0" fillId="0" borderId="2" applyAlignment="1" pivotButton="0" quotePrefix="0" xfId="0">
      <alignment textRotation="90"/>
    </xf>
    <xf numFmtId="0" fontId="14" fillId="0" borderId="0" applyAlignment="1" pivotButton="0" quotePrefix="0" xfId="0">
      <alignment textRotation="90" wrapText="1"/>
    </xf>
    <xf numFmtId="0" fontId="0" fillId="8" borderId="0" pivotButton="0" quotePrefix="0" xfId="0"/>
    <xf numFmtId="0" fontId="13" fillId="0" borderId="0" applyAlignment="1" pivotButton="0" quotePrefix="0" xfId="0">
      <alignment textRotation="90"/>
    </xf>
    <xf numFmtId="0" fontId="14" fillId="0" borderId="0" applyAlignment="1" pivotButton="0" quotePrefix="0" xfId="0">
      <alignment textRotation="90"/>
    </xf>
    <xf numFmtId="0" fontId="3" fillId="9" borderId="0" applyAlignment="1" pivotButton="0" quotePrefix="0" xfId="0">
      <alignment textRotation="90"/>
    </xf>
    <xf numFmtId="0" fontId="0" fillId="9" borderId="0" pivotButton="0" quotePrefix="0" xfId="0"/>
    <xf numFmtId="0" fontId="4" fillId="0" borderId="1" applyAlignment="1" pivotButton="0" quotePrefix="0" xfId="0">
      <alignment textRotation="90" wrapText="1"/>
    </xf>
    <xf numFmtId="0" fontId="15" fillId="0" borderId="1" applyAlignment="1" pivotButton="0" quotePrefix="0" xfId="0">
      <alignment textRotation="90" wrapText="1"/>
    </xf>
    <xf numFmtId="0" fontId="4" fillId="0" borderId="0" applyAlignment="1" pivotButton="0" quotePrefix="0" xfId="0">
      <alignment textRotation="90"/>
    </xf>
    <xf numFmtId="0" fontId="4" fillId="0" borderId="1" applyAlignment="1" pivotButton="0" quotePrefix="0" xfId="0">
      <alignment textRotation="90"/>
    </xf>
    <xf numFmtId="0" fontId="16" fillId="0" borderId="0" applyAlignment="1" pivotButton="0" quotePrefix="0" xfId="0">
      <alignment textRotation="90"/>
    </xf>
    <xf numFmtId="0" fontId="4" fillId="0" borderId="2" applyAlignment="1" pivotButton="0" quotePrefix="0" xfId="0">
      <alignment textRotation="90"/>
    </xf>
    <xf numFmtId="0" fontId="4" fillId="0" borderId="0" applyAlignment="1" pivotButton="0" quotePrefix="0" xfId="0">
      <alignment textRotation="90" wrapText="1"/>
    </xf>
    <xf numFmtId="0" fontId="16" fillId="0" borderId="0" applyAlignment="1" pivotButton="0" quotePrefix="0" xfId="0">
      <alignment textRotation="90" wrapText="1"/>
    </xf>
    <xf numFmtId="0" fontId="4" fillId="9" borderId="0" applyAlignment="1" pivotButton="0" quotePrefix="0" xfId="0">
      <alignment textRotation="90"/>
    </xf>
    <xf numFmtId="0" fontId="0" fillId="9" borderId="3" pivotButton="0" quotePrefix="0" xfId="0"/>
    <xf numFmtId="0" fontId="0" fillId="9" borderId="1" pivotButton="0" quotePrefix="0" xfId="0"/>
    <xf numFmtId="0" fontId="0" fillId="0" borderId="0" applyAlignment="1" pivotButton="0" quotePrefix="0" xfId="0">
      <alignment wrapText="1"/>
    </xf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10" borderId="0" pivotButton="0" quotePrefix="0" xfId="0"/>
    <xf numFmtId="0" fontId="0" fillId="10" borderId="0" pivotButton="0" quotePrefix="0" xfId="0"/>
    <xf numFmtId="0" fontId="17" fillId="10" borderId="0" applyAlignment="1" pivotButton="0" quotePrefix="0" xfId="0">
      <alignment horizontal="right"/>
    </xf>
    <xf numFmtId="0" fontId="3" fillId="11" borderId="0" pivotButton="0" quotePrefix="0" xfId="0"/>
    <xf numFmtId="0" fontId="0" fillId="11" borderId="0" pivotButton="0" quotePrefix="0" xfId="0"/>
    <xf numFmtId="0" fontId="17" fillId="11" borderId="0" applyAlignment="1" pivotButton="0" quotePrefix="0" xfId="0">
      <alignment horizontal="right"/>
    </xf>
    <xf numFmtId="0" fontId="17" fillId="10" borderId="0" pivotButton="0" quotePrefix="0" xfId="0"/>
    <xf numFmtId="0" fontId="17" fillId="11" borderId="0" pivotButton="0" quotePrefix="0" xfId="0"/>
    <xf numFmtId="0" fontId="1" fillId="11" borderId="0" applyAlignment="1" pivotButton="0" quotePrefix="0" xfId="0">
      <alignment wrapText="1"/>
    </xf>
    <xf numFmtId="0" fontId="0" fillId="11" borderId="0" applyAlignment="1" pivotButton="0" quotePrefix="0" xfId="0">
      <alignment wrapText="1"/>
    </xf>
    <xf numFmtId="0" fontId="11" fillId="11" borderId="0" pivotButton="0" quotePrefix="0" xfId="0"/>
    <xf numFmtId="0" fontId="7" fillId="7" borderId="0" applyAlignment="1" applyProtection="1" pivotButton="0" quotePrefix="0" xfId="0">
      <alignment horizontal="center" vertical="center"/>
      <protection locked="1" hidden="1"/>
    </xf>
    <xf numFmtId="0" fontId="0" fillId="0" borderId="0" applyProtection="1" pivotButton="0" quotePrefix="0" xfId="0">
      <protection locked="1" hidden="1"/>
    </xf>
    <xf numFmtId="0" fontId="5" fillId="7" borderId="0" applyAlignment="1" applyProtection="1" pivotButton="0" quotePrefix="0" xfId="0">
      <alignment horizontal="center" vertical="center"/>
      <protection locked="1" hidden="1"/>
    </xf>
    <xf numFmtId="0" fontId="9" fillId="7" borderId="0" applyAlignment="1" applyProtection="1" pivotButton="0" quotePrefix="0" xfId="0">
      <alignment horizontal="center" wrapText="1"/>
      <protection locked="1" hidden="1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1" fillId="0" borderId="5" pivotButton="0" quotePrefix="0" xfId="0"/>
    <xf numFmtId="0" fontId="0" fillId="0" borderId="5" pivotButton="0" quotePrefix="0" xfId="0"/>
    <xf numFmtId="0" fontId="0" fillId="0" borderId="6" applyAlignment="1" pivotButton="0" quotePrefix="0" xfId="0">
      <alignment textRotation="90"/>
    </xf>
    <xf numFmtId="0" fontId="0" fillId="0" borderId="7" pivotButton="0" quotePrefix="0" xfId="0"/>
    <xf numFmtId="0" fontId="0" fillId="0" borderId="6" pivotButton="0" quotePrefix="0" xfId="0"/>
    <xf numFmtId="0" fontId="0" fillId="0" borderId="8" pivotButton="0" quotePrefix="0" xfId="0"/>
    <xf numFmtId="0" fontId="2" fillId="0" borderId="0" applyAlignment="1" pivotButton="0" quotePrefix="0" xfId="0">
      <alignment horizontal="center"/>
    </xf>
    <xf numFmtId="0" fontId="3" fillId="12" borderId="0" pivotButton="0" quotePrefix="0" xfId="0"/>
    <xf numFmtId="0" fontId="0" fillId="12" borderId="0" pivotButton="0" quotePrefix="0" xfId="0"/>
    <xf numFmtId="0" fontId="18" fillId="12" borderId="0" applyAlignment="1" pivotButton="0" quotePrefix="0" xfId="0">
      <alignment horizontal="right"/>
    </xf>
    <xf numFmtId="0" fontId="3" fillId="13" borderId="0" pivotButton="0" quotePrefix="0" xfId="0"/>
    <xf numFmtId="0" fontId="0" fillId="13" borderId="0" pivotButton="0" quotePrefix="0" xfId="0"/>
    <xf numFmtId="0" fontId="18" fillId="13" borderId="0" applyAlignment="1" pivotButton="0" quotePrefix="0" xfId="0">
      <alignment horizontal="right"/>
    </xf>
    <xf numFmtId="0" fontId="18" fillId="12" borderId="0" pivotButton="0" quotePrefix="0" xfId="0"/>
    <xf numFmtId="0" fontId="18" fillId="13" borderId="0" pivotButton="0" quotePrefix="0" xfId="0"/>
    <xf numFmtId="0" fontId="1" fillId="13" borderId="0" applyAlignment="1" pivotButton="0" quotePrefix="0" xfId="0">
      <alignment wrapText="1"/>
    </xf>
    <xf numFmtId="0" fontId="0" fillId="13" borderId="0" applyAlignment="1" pivotButton="0" quotePrefix="0" xfId="0">
      <alignment wrapText="1"/>
    </xf>
    <xf numFmtId="0" fontId="11" fillId="13" borderId="0" pivotButton="0" quotePrefix="0" xfId="0"/>
  </cellXfs>
  <cellStyles count="1">
    <cellStyle name="Standard" xfId="0" builtinId="0"/>
  </cellStyles>
  <dxfs count="1">
    <dxf>
      <fill>
        <patternFill>
          <bgColor theme="0" tint="-0.24994659260841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64"/>
  <sheetViews>
    <sheetView topLeftCell="A4" workbookViewId="0">
      <selection activeCell="C22" sqref="C22"/>
    </sheetView>
  </sheetViews>
  <sheetFormatPr baseColWidth="10" defaultColWidth="9.140625" defaultRowHeight="12.75"/>
  <cols>
    <col width="18.5703125" bestFit="1" customWidth="1" style="91" min="1" max="1"/>
  </cols>
  <sheetData>
    <row r="1" ht="35.45" customHeight="1" s="91">
      <c r="E1" s="90" t="inlineStr">
        <is>
          <t>Saison 12/13</t>
        </is>
      </c>
    </row>
    <row r="2">
      <c r="A2" s="93" t="inlineStr">
        <is>
          <t>Spieler</t>
        </is>
      </c>
      <c r="B2" s="93" t="n"/>
      <c r="C2" s="95" t="inlineStr">
        <is>
          <t>Spiele bisher</t>
        </is>
      </c>
      <c r="D2" s="92" t="inlineStr">
        <is>
          <t>Freundschaftsspiele</t>
        </is>
      </c>
      <c r="R2" s="92" t="inlineStr">
        <is>
          <t>Pokalspiele</t>
        </is>
      </c>
      <c r="X2" s="98" t="inlineStr">
        <is>
          <t>Punktspiele</t>
        </is>
      </c>
      <c r="CB2" s="98" t="inlineStr">
        <is>
          <t>Anzahl</t>
        </is>
      </c>
    </row>
    <row r="3">
      <c r="C3" s="96" t="n"/>
      <c r="D3" t="inlineStr">
        <is>
          <t>I</t>
        </is>
      </c>
      <c r="E3" t="inlineStr">
        <is>
          <t>I</t>
        </is>
      </c>
      <c r="F3" t="inlineStr">
        <is>
          <t>I</t>
        </is>
      </c>
      <c r="G3" t="inlineStr">
        <is>
          <t>I</t>
        </is>
      </c>
      <c r="H3" t="inlineStr">
        <is>
          <t>I</t>
        </is>
      </c>
      <c r="I3" t="inlineStr">
        <is>
          <t>I</t>
        </is>
      </c>
      <c r="J3" t="inlineStr">
        <is>
          <t>I</t>
        </is>
      </c>
      <c r="K3" t="inlineStr">
        <is>
          <t>I</t>
        </is>
      </c>
      <c r="L3" t="inlineStr">
        <is>
          <t>I</t>
        </is>
      </c>
      <c r="M3" t="inlineStr">
        <is>
          <t>I</t>
        </is>
      </c>
      <c r="N3" t="inlineStr">
        <is>
          <t>I</t>
        </is>
      </c>
      <c r="R3" t="inlineStr">
        <is>
          <t>II</t>
        </is>
      </c>
      <c r="S3" t="inlineStr">
        <is>
          <t>I</t>
        </is>
      </c>
      <c r="T3" t="inlineStr">
        <is>
          <t>I</t>
        </is>
      </c>
      <c r="U3" t="inlineStr">
        <is>
          <t>I</t>
        </is>
      </c>
      <c r="V3" t="inlineStr">
        <is>
          <t>I</t>
        </is>
      </c>
      <c r="X3" s="98" t="inlineStr">
        <is>
          <t>I</t>
        </is>
      </c>
      <c r="Y3" s="92" t="inlineStr">
        <is>
          <t>I</t>
        </is>
      </c>
      <c r="Z3" t="inlineStr">
        <is>
          <t>I</t>
        </is>
      </c>
      <c r="AA3" s="92" t="inlineStr">
        <is>
          <t>I</t>
        </is>
      </c>
      <c r="AB3" s="92" t="inlineStr">
        <is>
          <t>I</t>
        </is>
      </c>
      <c r="AC3" t="inlineStr">
        <is>
          <t>II</t>
        </is>
      </c>
      <c r="AD3" t="inlineStr">
        <is>
          <t>I</t>
        </is>
      </c>
      <c r="AE3" t="inlineStr">
        <is>
          <t>II</t>
        </is>
      </c>
      <c r="AF3" s="92" t="inlineStr">
        <is>
          <t>II</t>
        </is>
      </c>
      <c r="AG3" s="92" t="inlineStr">
        <is>
          <t>I</t>
        </is>
      </c>
      <c r="AH3" t="inlineStr">
        <is>
          <t>I</t>
        </is>
      </c>
      <c r="AI3" t="inlineStr">
        <is>
          <t>II</t>
        </is>
      </c>
      <c r="AJ3" t="inlineStr">
        <is>
          <t>I</t>
        </is>
      </c>
      <c r="AK3" t="inlineStr">
        <is>
          <t>II</t>
        </is>
      </c>
      <c r="AL3" t="inlineStr">
        <is>
          <t>I</t>
        </is>
      </c>
      <c r="AM3" s="92" t="inlineStr">
        <is>
          <t>I</t>
        </is>
      </c>
      <c r="AN3" s="92" t="inlineStr">
        <is>
          <t>II</t>
        </is>
      </c>
      <c r="AO3" s="92" t="inlineStr">
        <is>
          <t>I</t>
        </is>
      </c>
      <c r="AP3" s="92" t="inlineStr">
        <is>
          <t>II</t>
        </is>
      </c>
      <c r="AQ3" s="92" t="inlineStr">
        <is>
          <t>I</t>
        </is>
      </c>
      <c r="AR3" s="92" t="inlineStr">
        <is>
          <t>II</t>
        </is>
      </c>
      <c r="AS3" s="92" t="inlineStr">
        <is>
          <t>I</t>
        </is>
      </c>
      <c r="AT3" s="92" t="inlineStr">
        <is>
          <t>II</t>
        </is>
      </c>
      <c r="AU3" s="92" t="inlineStr">
        <is>
          <t>I</t>
        </is>
      </c>
      <c r="AV3" s="92" t="inlineStr">
        <is>
          <t>II</t>
        </is>
      </c>
      <c r="AW3" s="92" t="inlineStr">
        <is>
          <t>I</t>
        </is>
      </c>
      <c r="AX3" t="inlineStr">
        <is>
          <t>I</t>
        </is>
      </c>
      <c r="AY3" s="92" t="inlineStr">
        <is>
          <t>I</t>
        </is>
      </c>
      <c r="AZ3" s="92" t="inlineStr">
        <is>
          <t>II</t>
        </is>
      </c>
      <c r="BA3" s="92" t="inlineStr">
        <is>
          <t>I</t>
        </is>
      </c>
      <c r="BB3" s="92" t="inlineStr">
        <is>
          <t>II</t>
        </is>
      </c>
      <c r="BC3" s="92" t="inlineStr">
        <is>
          <t>I</t>
        </is>
      </c>
      <c r="BD3" s="92" t="inlineStr">
        <is>
          <t>II</t>
        </is>
      </c>
      <c r="BE3" s="92" t="inlineStr">
        <is>
          <t>I</t>
        </is>
      </c>
      <c r="BF3" s="92" t="inlineStr">
        <is>
          <t>II</t>
        </is>
      </c>
      <c r="BG3" s="92" t="inlineStr">
        <is>
          <t>I</t>
        </is>
      </c>
      <c r="BH3" s="92" t="inlineStr">
        <is>
          <t>II</t>
        </is>
      </c>
      <c r="BI3" s="92" t="inlineStr">
        <is>
          <t>I</t>
        </is>
      </c>
      <c r="BJ3" t="inlineStr">
        <is>
          <t>I</t>
        </is>
      </c>
      <c r="BK3" t="inlineStr">
        <is>
          <t>II</t>
        </is>
      </c>
      <c r="BL3" t="inlineStr">
        <is>
          <t>I</t>
        </is>
      </c>
      <c r="BM3" t="inlineStr">
        <is>
          <t>II</t>
        </is>
      </c>
      <c r="BN3" t="inlineStr">
        <is>
          <t>I</t>
        </is>
      </c>
      <c r="BO3" t="inlineStr">
        <is>
          <t>II</t>
        </is>
      </c>
      <c r="BP3" t="inlineStr">
        <is>
          <t>I</t>
        </is>
      </c>
      <c r="BQ3" t="inlineStr">
        <is>
          <t>II</t>
        </is>
      </c>
      <c r="BR3" t="inlineStr">
        <is>
          <t>I</t>
        </is>
      </c>
      <c r="BT3" t="inlineStr">
        <is>
          <t>I</t>
        </is>
      </c>
      <c r="BU3" t="inlineStr">
        <is>
          <t>II</t>
        </is>
      </c>
      <c r="CB3" s="98" t="inlineStr">
        <is>
          <t xml:space="preserve"> </t>
        </is>
      </c>
      <c r="CC3" s="42" t="n"/>
      <c r="CD3" s="42" t="n"/>
      <c r="CE3" s="42" t="n"/>
      <c r="CF3" s="42" t="n"/>
      <c r="CG3" s="42" t="n"/>
      <c r="CH3" s="42" t="n"/>
      <c r="CI3" s="42" t="n"/>
    </row>
    <row r="4" ht="241.9" customHeight="1" s="91">
      <c r="A4" s="94" t="n"/>
      <c r="B4" s="94" t="n"/>
      <c r="C4" s="97" t="n"/>
      <c r="D4" s="43" t="inlineStr">
        <is>
          <t>Obereschach</t>
        </is>
      </c>
      <c r="E4" s="43" t="inlineStr">
        <is>
          <t>Fischbach</t>
        </is>
      </c>
      <c r="F4" s="43" t="inlineStr">
        <is>
          <t>Kappel</t>
        </is>
      </c>
      <c r="G4" s="43" t="inlineStr">
        <is>
          <t>Lackendorf</t>
        </is>
      </c>
      <c r="H4" s="43" t="inlineStr">
        <is>
          <t>Wurmlingen</t>
        </is>
      </c>
      <c r="I4" s="43" t="inlineStr">
        <is>
          <t>Schonach</t>
        </is>
      </c>
      <c r="J4" s="43" t="inlineStr">
        <is>
          <t xml:space="preserve"> </t>
        </is>
      </c>
      <c r="K4" s="43" t="inlineStr">
        <is>
          <t>Tore Vorbereitung 1. Mannschaft</t>
        </is>
      </c>
      <c r="L4" s="43" t="inlineStr">
        <is>
          <t xml:space="preserve"> </t>
        </is>
      </c>
      <c r="M4" s="43" t="inlineStr">
        <is>
          <t xml:space="preserve"> </t>
        </is>
      </c>
      <c r="N4" s="43" t="inlineStr">
        <is>
          <t xml:space="preserve"> </t>
        </is>
      </c>
      <c r="O4" s="43" t="inlineStr">
        <is>
          <t xml:space="preserve"> </t>
        </is>
      </c>
      <c r="P4" s="43" t="inlineStr">
        <is>
          <t xml:space="preserve"> </t>
        </is>
      </c>
      <c r="Q4" s="43" t="inlineStr">
        <is>
          <t xml:space="preserve"> </t>
        </is>
      </c>
      <c r="R4" s="43" t="inlineStr">
        <is>
          <t xml:space="preserve"> </t>
        </is>
      </c>
      <c r="S4" s="43" t="inlineStr">
        <is>
          <t>Seedorf I</t>
        </is>
      </c>
      <c r="T4" s="43" t="inlineStr">
        <is>
          <t xml:space="preserve"> </t>
        </is>
      </c>
      <c r="U4" s="43" t="inlineStr">
        <is>
          <t>Tore Pokalspiele 1. Mannschaft</t>
        </is>
      </c>
      <c r="V4" s="43" t="inlineStr">
        <is>
          <t xml:space="preserve"> </t>
        </is>
      </c>
      <c r="W4" s="43" t="inlineStr">
        <is>
          <t xml:space="preserve"> </t>
        </is>
      </c>
      <c r="X4" s="44" t="inlineStr">
        <is>
          <t>19.08.2012 SG MaLo I : SV Herrenzimmern I</t>
        </is>
      </c>
      <c r="Y4" s="45" t="inlineStr">
        <is>
          <t>22.08.2012 VfB Bösingen II : SG MaLo I</t>
        </is>
      </c>
      <c r="Z4" s="45" t="inlineStr">
        <is>
          <t>26.08.2012 SG MaLo I : SV Beffendorf I</t>
        </is>
      </c>
      <c r="AA4" s="45" t="inlineStr">
        <is>
          <t>02.09.2012 SV Rötenberg : SG MaLo I</t>
        </is>
      </c>
      <c r="AB4" s="45" t="inlineStr">
        <is>
          <t>09.09.2012 SG MaLo I : SV Winzeln I</t>
        </is>
      </c>
      <c r="AC4" s="45" t="inlineStr">
        <is>
          <t>09.09.2012 SV Winzeln II : SG MaLo II</t>
        </is>
      </c>
      <c r="AD4" s="45" t="inlineStr">
        <is>
          <t>13.09.2012 FV Aichhalden : SG MaLo I</t>
        </is>
      </c>
      <c r="AE4" s="45" t="inlineStr">
        <is>
          <t>16.09.23012 SG MaLo II : FC Dunningen II</t>
        </is>
      </c>
      <c r="AF4" s="45" t="inlineStr">
        <is>
          <t>20.09.2012 Spvgg Stetten-Lackendorf II : SG MaLo II</t>
        </is>
      </c>
      <c r="AG4" s="45" t="inlineStr">
        <is>
          <t>22.09.2012 SG MaLo I : SV Horgen I</t>
        </is>
      </c>
      <c r="AH4" s="45" t="inlineStr">
        <is>
          <t>30.09.2012 FC Dunningen I : SG MaLo I</t>
        </is>
      </c>
      <c r="AI4" s="45" t="inlineStr">
        <is>
          <t>30.09.2012 SG MaLo II : SV Horgen II</t>
        </is>
      </c>
      <c r="AJ4" s="45" t="inlineStr">
        <is>
          <t>07.10.2012 SG MaLo I : TSV Böhringen I</t>
        </is>
      </c>
      <c r="AK4" s="45" t="inlineStr">
        <is>
          <t>07.10.2012 SV Sulgen II : SG MaLo II</t>
        </is>
      </c>
      <c r="AL4" s="45" t="inlineStr">
        <is>
          <t>14.10.2012 FC Dietingen I : SG MaLo I</t>
        </is>
      </c>
      <c r="AM4" s="45" t="inlineStr">
        <is>
          <t>21.10.2012 SG MaLo I : FSV Zepfenhan I</t>
        </is>
      </c>
      <c r="AN4" s="45" t="inlineStr">
        <is>
          <t>21.10.2012 SG MaLo II : SV Waldmössingen II</t>
        </is>
      </c>
      <c r="AO4" s="45" t="inlineStr">
        <is>
          <t>28.10.2012 Türk SV Schramberg I : SG MaLo I</t>
        </is>
      </c>
      <c r="AP4" s="45" t="inlineStr">
        <is>
          <t>28.10.2012 SV Seedorf III : SG MaLo II</t>
        </is>
      </c>
      <c r="AQ4" s="45" t="inlineStr">
        <is>
          <t>04.11.2012 SG MaLo I : Spvgg Oberndorf I</t>
        </is>
      </c>
      <c r="AR4" s="45" t="inlineStr">
        <is>
          <t>04.11.2012 SG MaLo II : FV Aichhalden II</t>
        </is>
      </c>
      <c r="AS4" s="45" t="inlineStr">
        <is>
          <t>11.11.2012 FV Kickers Lauterbach I : SG MaLo I</t>
        </is>
      </c>
      <c r="AT4" s="45" t="inlineStr">
        <is>
          <t>11.11.2012 FV Kickers Lauterbach II : SG MaLo II</t>
        </is>
      </c>
      <c r="AU4" s="45" t="inlineStr">
        <is>
          <t>18.11.2012 SV Herrenzimmern I : SG MaLo I</t>
        </is>
      </c>
      <c r="AV4" s="45" t="inlineStr">
        <is>
          <t>18.11.2012 SV Rötenberg II : SG MaLo II</t>
        </is>
      </c>
      <c r="AW4" s="45" t="inlineStr">
        <is>
          <t>24.11.2012 SG MaLo I : VfB Bösingen II</t>
        </is>
      </c>
      <c r="AX4" s="45" t="inlineStr">
        <is>
          <t>10.03.2013 SV Beffendorf I : SG MaLo I</t>
        </is>
      </c>
      <c r="AY4" s="45" t="inlineStr">
        <is>
          <t>17.03.2013 SG MaLo I : SV Rötenberg I</t>
        </is>
      </c>
      <c r="AZ4" s="45" t="inlineStr">
        <is>
          <t>17.03.2013 SG MaLo II : SV Winzeln II</t>
        </is>
      </c>
      <c r="BA4" s="45" t="inlineStr">
        <is>
          <t>24.03.2013 SV Winzeln I : SG MaLo I</t>
        </is>
      </c>
      <c r="BB4" s="45" t="inlineStr">
        <is>
          <t>24.03.2013 FC Dunningen II : SG MaLo II</t>
        </is>
      </c>
      <c r="BC4" s="45" t="inlineStr">
        <is>
          <t>30.03.2013 2013 SG MaLo I : FV Aichhalden I</t>
        </is>
      </c>
      <c r="BD4" s="45" t="inlineStr">
        <is>
          <t>07.04.2013 SG MaLo II : Spvgg Stetten-Lackendorf II</t>
        </is>
      </c>
      <c r="BE4" s="45" t="inlineStr">
        <is>
          <t>14.04.2013 SV Horgen I : SG MaLo I</t>
        </is>
      </c>
      <c r="BF4" s="45" t="inlineStr">
        <is>
          <t>14.04.2013 SV Horgen II : SG MaLo II</t>
        </is>
      </c>
      <c r="BG4" s="45" t="inlineStr">
        <is>
          <t>21.04.2013 SG MaLo I : FC Dunningen I</t>
        </is>
      </c>
      <c r="BH4" s="45" t="inlineStr">
        <is>
          <t>21.04.2013 SG MaLo II : SV Sulgen II</t>
        </is>
      </c>
      <c r="BI4" s="45" t="inlineStr">
        <is>
          <t>28.04.2013 TSV Böhringen I : SG MaLo I</t>
        </is>
      </c>
      <c r="BJ4" s="45" t="inlineStr">
        <is>
          <t>05.05.2013 SG MaLo I : FC Dietingen I</t>
        </is>
      </c>
      <c r="BK4" s="45" t="inlineStr">
        <is>
          <t>05.05.2013 SV Waldmössingen II : SG MaLo II</t>
        </is>
      </c>
      <c r="BL4" s="45" t="inlineStr">
        <is>
          <t>12.05.2013 FSV Zepfenhan I : SG MaLo I</t>
        </is>
      </c>
      <c r="BM4" s="45" t="inlineStr">
        <is>
          <t>12.05.2013 SG MaLo II : SV Seedorf III</t>
        </is>
      </c>
      <c r="BN4" s="45" t="inlineStr">
        <is>
          <t>26.05.2013 SG MaLo I : Türk SV Schramberg I</t>
        </is>
      </c>
      <c r="BO4" s="45" t="inlineStr">
        <is>
          <t>26.05.2013 FV Aichhalden II : SG MaLo II</t>
        </is>
      </c>
      <c r="BP4" s="45" t="inlineStr">
        <is>
          <t>02.06.2013 Spvgg Oberndorf I : SG MaLo I</t>
        </is>
      </c>
      <c r="BQ4" s="45" t="inlineStr">
        <is>
          <t>02.06.2013  SG MaLo II : FV Kickers Lauterbach II</t>
        </is>
      </c>
      <c r="BR4" s="45" t="inlineStr">
        <is>
          <t>09.06.2013 SG MaLo I : FV Kickers Lauterbach I</t>
        </is>
      </c>
      <c r="BS4" s="45" t="inlineStr">
        <is>
          <t>Relegation gegen Rottweil</t>
        </is>
      </c>
      <c r="BT4" s="45" t="inlineStr">
        <is>
          <t>Tore 1. Mannschaft</t>
        </is>
      </c>
      <c r="BU4" s="45" t="inlineStr">
        <is>
          <t>Tore 2. Mannschaft</t>
        </is>
      </c>
      <c r="BV4" s="45" t="n"/>
      <c r="BW4" s="42" t="n"/>
      <c r="BX4" s="42" t="n"/>
      <c r="BY4" s="42" t="n"/>
      <c r="BZ4" s="42" t="n"/>
      <c r="CA4" s="43" t="inlineStr">
        <is>
          <t xml:space="preserve"> </t>
        </is>
      </c>
      <c r="CB4" s="46" t="inlineStr">
        <is>
          <t>Punktspiele I</t>
        </is>
      </c>
      <c r="CC4" s="43" t="inlineStr">
        <is>
          <t>Punktspiele II</t>
        </is>
      </c>
      <c r="CD4" s="43" t="inlineStr">
        <is>
          <t>Punktspiele I+II</t>
        </is>
      </c>
      <c r="CE4" s="43" t="inlineStr">
        <is>
          <t>Tore Punktspiele I</t>
        </is>
      </c>
      <c r="CF4" s="43" t="inlineStr">
        <is>
          <t>Tore Punktspiele II</t>
        </is>
      </c>
      <c r="CG4" s="43" t="inlineStr">
        <is>
          <t>Tore Punktspiele I+II</t>
        </is>
      </c>
      <c r="CH4" s="43" t="inlineStr">
        <is>
          <t>Freundschaftssp.</t>
        </is>
      </c>
      <c r="CI4" s="43" t="inlineStr">
        <is>
          <t>Tore Freundschaftssp.</t>
        </is>
      </c>
      <c r="CJ4" s="43" t="inlineStr">
        <is>
          <t>Spiele</t>
        </is>
      </c>
      <c r="CK4" s="43" t="inlineStr">
        <is>
          <t>Tore</t>
        </is>
      </c>
      <c r="CL4" s="43" t="inlineStr">
        <is>
          <t>Spiele gesamt</t>
        </is>
      </c>
    </row>
    <row r="5">
      <c r="A5" t="inlineStr">
        <is>
          <t>Aichele Thomas</t>
        </is>
      </c>
      <c r="B5" t="inlineStr">
        <is>
          <t>L</t>
        </is>
      </c>
      <c r="C5" t="n">
        <v>109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K5" t="n">
        <v>2</v>
      </c>
      <c r="S5" t="n">
        <v>0</v>
      </c>
      <c r="X5" s="98" t="n">
        <v>0</v>
      </c>
      <c r="Y5" t="n">
        <v>0</v>
      </c>
      <c r="AA5" t="n">
        <v>0</v>
      </c>
      <c r="AB5" t="n">
        <v>0</v>
      </c>
      <c r="AD5" t="n">
        <v>0</v>
      </c>
      <c r="AG5" t="n">
        <v>0</v>
      </c>
      <c r="AH5" t="n">
        <v>0</v>
      </c>
      <c r="AJ5" t="n">
        <v>0</v>
      </c>
      <c r="BA5" t="n">
        <v>0</v>
      </c>
      <c r="BJ5" t="n">
        <v>0</v>
      </c>
      <c r="BN5" t="n">
        <v>0</v>
      </c>
      <c r="BP5" t="n">
        <v>0</v>
      </c>
      <c r="BR5" t="n">
        <v>0</v>
      </c>
      <c r="BS5" t="n">
        <v>0</v>
      </c>
      <c r="BT5" t="n">
        <v>3</v>
      </c>
      <c r="CB5" s="98" t="n">
        <v>14</v>
      </c>
      <c r="CC5" t="n">
        <v>0</v>
      </c>
      <c r="CD5" t="n">
        <v>14</v>
      </c>
      <c r="CE5" t="n">
        <v>3</v>
      </c>
      <c r="CF5" t="n">
        <v>0</v>
      </c>
      <c r="CG5" t="n">
        <v>3</v>
      </c>
      <c r="CH5" t="n">
        <v>8</v>
      </c>
      <c r="CI5" t="n">
        <v>2</v>
      </c>
      <c r="CJ5" t="n">
        <v>22</v>
      </c>
      <c r="CK5" t="n">
        <v>5</v>
      </c>
      <c r="CL5" t="n">
        <v>131</v>
      </c>
    </row>
    <row r="6">
      <c r="A6" t="inlineStr">
        <is>
          <t>Auber A.</t>
        </is>
      </c>
      <c r="B6" t="inlineStr">
        <is>
          <t>M</t>
        </is>
      </c>
      <c r="C6" t="n">
        <v>379</v>
      </c>
      <c r="X6" s="98" t="inlineStr">
        <is>
          <t xml:space="preserve"> </t>
        </is>
      </c>
      <c r="CB6" s="98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379</v>
      </c>
    </row>
    <row r="7">
      <c r="A7" t="inlineStr">
        <is>
          <t>Augstein M</t>
        </is>
      </c>
      <c r="B7" t="inlineStr">
        <is>
          <t>L</t>
        </is>
      </c>
      <c r="C7" t="n">
        <v>75</v>
      </c>
      <c r="X7" s="98" t="inlineStr">
        <is>
          <t xml:space="preserve"> </t>
        </is>
      </c>
      <c r="CB7" s="98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75</v>
      </c>
    </row>
    <row r="8">
      <c r="A8" t="inlineStr">
        <is>
          <t>Bannert Dirk</t>
        </is>
      </c>
      <c r="B8" t="inlineStr">
        <is>
          <t>L</t>
        </is>
      </c>
      <c r="C8" t="n">
        <v>60</v>
      </c>
      <c r="X8" s="98" t="inlineStr">
        <is>
          <t xml:space="preserve"> </t>
        </is>
      </c>
      <c r="CB8" s="9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60</v>
      </c>
    </row>
    <row r="9">
      <c r="A9" t="inlineStr">
        <is>
          <t>Bekir Kilic</t>
        </is>
      </c>
      <c r="B9" t="inlineStr">
        <is>
          <t>L</t>
        </is>
      </c>
      <c r="C9" t="n">
        <v>63</v>
      </c>
      <c r="X9" s="98" t="inlineStr">
        <is>
          <t xml:space="preserve"> </t>
        </is>
      </c>
      <c r="CB9" s="98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63</v>
      </c>
    </row>
    <row r="10">
      <c r="A10" t="inlineStr">
        <is>
          <t>Binnig Andre</t>
        </is>
      </c>
      <c r="B10" t="inlineStr">
        <is>
          <t>L</t>
        </is>
      </c>
      <c r="C10" t="n">
        <v>13</v>
      </c>
      <c r="D10" t="n">
        <v>0</v>
      </c>
      <c r="E10" t="n">
        <v>0</v>
      </c>
      <c r="F10" t="n">
        <v>0</v>
      </c>
      <c r="H10" t="n">
        <v>0</v>
      </c>
      <c r="I10" t="n">
        <v>0</v>
      </c>
      <c r="S10" t="n">
        <v>0</v>
      </c>
      <c r="X10" s="98" t="n">
        <v>0</v>
      </c>
      <c r="Y10" t="n">
        <v>0</v>
      </c>
      <c r="Z10" t="n">
        <v>0</v>
      </c>
      <c r="AA10" t="n">
        <v>0</v>
      </c>
      <c r="AB10" t="n">
        <v>0</v>
      </c>
      <c r="AD10" t="n">
        <v>0</v>
      </c>
      <c r="AG10" t="n">
        <v>0</v>
      </c>
      <c r="AH10" t="n">
        <v>0</v>
      </c>
      <c r="AJ10" t="n">
        <v>0</v>
      </c>
      <c r="AL10" t="n">
        <v>0</v>
      </c>
      <c r="AM10" t="n">
        <v>0</v>
      </c>
      <c r="AQ10" t="n">
        <v>0</v>
      </c>
      <c r="AS10" t="n">
        <v>0</v>
      </c>
      <c r="AU10" t="n">
        <v>0</v>
      </c>
      <c r="AW10" t="n">
        <v>0</v>
      </c>
      <c r="AX10" t="n">
        <v>0</v>
      </c>
      <c r="AY10" t="n">
        <v>0</v>
      </c>
      <c r="BA10" t="n">
        <v>0</v>
      </c>
      <c r="BC10" t="n">
        <v>0</v>
      </c>
      <c r="BE10" t="n">
        <v>0</v>
      </c>
      <c r="BG10" t="n">
        <v>0</v>
      </c>
      <c r="BI10" t="n">
        <v>0</v>
      </c>
      <c r="CB10" s="98" t="n">
        <v>22</v>
      </c>
      <c r="CC10" t="n">
        <v>0</v>
      </c>
      <c r="CD10" t="n">
        <v>22</v>
      </c>
      <c r="CE10" t="n">
        <v>0</v>
      </c>
      <c r="CF10" t="n">
        <v>0</v>
      </c>
      <c r="CG10" t="n">
        <v>0</v>
      </c>
      <c r="CH10" t="n">
        <v>6</v>
      </c>
      <c r="CI10" t="n">
        <v>0</v>
      </c>
      <c r="CJ10" t="n">
        <v>28</v>
      </c>
      <c r="CK10" t="n">
        <v>0</v>
      </c>
      <c r="CL10" t="n">
        <v>41</v>
      </c>
    </row>
    <row r="11">
      <c r="A11" t="inlineStr">
        <is>
          <t>Bosch M.</t>
        </is>
      </c>
      <c r="B11" t="inlineStr">
        <is>
          <t>L</t>
        </is>
      </c>
      <c r="C11" t="n">
        <v>118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K11" t="n">
        <v>1</v>
      </c>
      <c r="S11" t="n">
        <v>0</v>
      </c>
      <c r="X11" s="98" t="n">
        <v>0</v>
      </c>
      <c r="Y11" t="n">
        <v>0</v>
      </c>
      <c r="Z11" t="n">
        <v>0</v>
      </c>
      <c r="AA11" t="n">
        <v>0</v>
      </c>
      <c r="AB11" t="n">
        <v>0</v>
      </c>
      <c r="AD11" t="n">
        <v>0</v>
      </c>
      <c r="AG11" t="n">
        <v>0</v>
      </c>
      <c r="AH11" t="n">
        <v>0</v>
      </c>
      <c r="AJ11" t="n">
        <v>0</v>
      </c>
      <c r="AL11" t="n">
        <v>0</v>
      </c>
      <c r="AM11" t="n">
        <v>0</v>
      </c>
      <c r="AQ11" t="n">
        <v>0</v>
      </c>
      <c r="AS11" t="n">
        <v>0</v>
      </c>
      <c r="AU11" t="n">
        <v>0</v>
      </c>
      <c r="AW11" t="n">
        <v>0</v>
      </c>
      <c r="AX11" t="n">
        <v>0</v>
      </c>
      <c r="AY11" t="n">
        <v>0</v>
      </c>
      <c r="BA11" t="n">
        <v>0</v>
      </c>
      <c r="BC11" t="n">
        <v>0</v>
      </c>
      <c r="BE11" t="n">
        <v>0</v>
      </c>
      <c r="BG11" t="n">
        <v>0</v>
      </c>
      <c r="BI11" t="n">
        <v>0</v>
      </c>
      <c r="BJ11" t="n">
        <v>0</v>
      </c>
      <c r="BN11" t="n">
        <v>0</v>
      </c>
      <c r="BT11" t="n">
        <v>3</v>
      </c>
      <c r="CB11" s="98" t="n">
        <v>25</v>
      </c>
      <c r="CC11" t="n">
        <v>0</v>
      </c>
      <c r="CD11" t="n">
        <v>25</v>
      </c>
      <c r="CE11" t="n">
        <v>3</v>
      </c>
      <c r="CF11" t="n">
        <v>0</v>
      </c>
      <c r="CG11" t="n">
        <v>3</v>
      </c>
      <c r="CH11" t="n">
        <v>8</v>
      </c>
      <c r="CI11" t="n">
        <v>1</v>
      </c>
      <c r="CJ11" t="n">
        <v>33</v>
      </c>
      <c r="CK11" t="n">
        <v>4</v>
      </c>
      <c r="CL11" t="n">
        <v>151</v>
      </c>
    </row>
    <row r="12">
      <c r="A12" t="inlineStr">
        <is>
          <t>Broghammer Michael</t>
        </is>
      </c>
      <c r="B12" t="inlineStr">
        <is>
          <t>M</t>
        </is>
      </c>
      <c r="C12" t="n">
        <v>10</v>
      </c>
      <c r="X12" s="98" t="inlineStr">
        <is>
          <t xml:space="preserve"> </t>
        </is>
      </c>
      <c r="CB12" s="98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10</v>
      </c>
    </row>
    <row r="13">
      <c r="A13" t="inlineStr">
        <is>
          <t>Czerny A</t>
        </is>
      </c>
      <c r="B13" t="inlineStr">
        <is>
          <t>M</t>
        </is>
      </c>
      <c r="C13" t="n">
        <v>206</v>
      </c>
      <c r="X13" s="98" t="inlineStr">
        <is>
          <t xml:space="preserve"> </t>
        </is>
      </c>
      <c r="CB13" s="98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206</v>
      </c>
    </row>
    <row r="14">
      <c r="A14" t="inlineStr">
        <is>
          <t>Dold Markus</t>
        </is>
      </c>
      <c r="B14" t="inlineStr">
        <is>
          <t>M</t>
        </is>
      </c>
      <c r="C14" t="n">
        <v>7</v>
      </c>
      <c r="D14" t="n">
        <v>0</v>
      </c>
      <c r="E14" t="n">
        <v>0</v>
      </c>
      <c r="F14" t="n">
        <v>0</v>
      </c>
      <c r="H14" t="n">
        <v>0</v>
      </c>
      <c r="I14" t="n">
        <v>0</v>
      </c>
      <c r="X14" s="98" t="n">
        <v>0</v>
      </c>
      <c r="Y14" t="n">
        <v>0</v>
      </c>
      <c r="Z14" t="n">
        <v>0</v>
      </c>
      <c r="AB14" t="n">
        <v>0</v>
      </c>
      <c r="AD14" t="n">
        <v>0</v>
      </c>
      <c r="AH14" t="n">
        <v>0</v>
      </c>
      <c r="AJ14" t="n">
        <v>0</v>
      </c>
      <c r="AU14" t="n">
        <v>0</v>
      </c>
      <c r="AW14" t="n">
        <v>0</v>
      </c>
      <c r="CB14" s="98" t="n">
        <v>9</v>
      </c>
      <c r="CC14" t="n">
        <v>0</v>
      </c>
      <c r="CD14" t="n">
        <v>9</v>
      </c>
      <c r="CE14" t="n">
        <v>0</v>
      </c>
      <c r="CF14" t="n">
        <v>0</v>
      </c>
      <c r="CG14" t="n">
        <v>0</v>
      </c>
      <c r="CH14" t="n">
        <v>5</v>
      </c>
      <c r="CI14" t="n">
        <v>0</v>
      </c>
      <c r="CJ14" t="n">
        <v>14</v>
      </c>
      <c r="CK14" t="n">
        <v>0</v>
      </c>
      <c r="CL14" t="n">
        <v>21</v>
      </c>
    </row>
    <row r="15">
      <c r="A15" t="inlineStr">
        <is>
          <t>Ebert D.</t>
        </is>
      </c>
      <c r="B15" t="inlineStr">
        <is>
          <t>M</t>
        </is>
      </c>
      <c r="C15" t="n">
        <v>373</v>
      </c>
      <c r="X15" s="98" t="inlineStr">
        <is>
          <t xml:space="preserve"> </t>
        </is>
      </c>
      <c r="CB15" s="98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373</v>
      </c>
    </row>
    <row r="16">
      <c r="A16" t="inlineStr">
        <is>
          <t>Ebert M.</t>
        </is>
      </c>
      <c r="B16" t="inlineStr">
        <is>
          <t>M</t>
        </is>
      </c>
      <c r="C16" t="n">
        <v>143</v>
      </c>
      <c r="D16" t="n">
        <v>0</v>
      </c>
      <c r="E16" t="n">
        <v>0</v>
      </c>
      <c r="F16" t="n">
        <v>0</v>
      </c>
      <c r="S16" t="n">
        <v>0</v>
      </c>
      <c r="X16" s="98" t="inlineStr">
        <is>
          <t xml:space="preserve"> </t>
        </is>
      </c>
      <c r="AA16" t="n">
        <v>0</v>
      </c>
      <c r="AB16" t="n">
        <v>0</v>
      </c>
      <c r="AD16" t="n">
        <v>0</v>
      </c>
      <c r="AG16" t="n">
        <v>0</v>
      </c>
      <c r="AS16" t="n">
        <v>0</v>
      </c>
      <c r="AU16" t="n">
        <v>0</v>
      </c>
      <c r="AY16" t="n">
        <v>0</v>
      </c>
      <c r="BA16" t="n">
        <v>0</v>
      </c>
      <c r="BC16" t="n">
        <v>0</v>
      </c>
      <c r="BE16" t="n">
        <v>0</v>
      </c>
      <c r="BG16" t="n">
        <v>0</v>
      </c>
      <c r="BI16" t="n">
        <v>0</v>
      </c>
      <c r="BJ16" t="n">
        <v>0</v>
      </c>
      <c r="BL16" t="n">
        <v>0</v>
      </c>
      <c r="BN16" t="n">
        <v>0</v>
      </c>
      <c r="BP16" t="n">
        <v>0</v>
      </c>
      <c r="BS16" t="n">
        <v>0</v>
      </c>
      <c r="BT16" t="n">
        <v>2</v>
      </c>
      <c r="CB16" s="98" t="n">
        <v>17</v>
      </c>
      <c r="CC16" t="n">
        <v>0</v>
      </c>
      <c r="CD16" t="n">
        <v>17</v>
      </c>
      <c r="CE16" t="n">
        <v>2</v>
      </c>
      <c r="CF16" t="n">
        <v>0</v>
      </c>
      <c r="CG16" t="n">
        <v>2</v>
      </c>
      <c r="CH16" t="n">
        <v>4</v>
      </c>
      <c r="CI16" t="n">
        <v>0</v>
      </c>
      <c r="CJ16" t="n">
        <v>21</v>
      </c>
      <c r="CK16" t="n">
        <v>2</v>
      </c>
      <c r="CL16" t="n">
        <v>164</v>
      </c>
    </row>
    <row r="17">
      <c r="A17" t="inlineStr">
        <is>
          <t>Engesser M.</t>
        </is>
      </c>
      <c r="B17" t="inlineStr">
        <is>
          <t>M</t>
        </is>
      </c>
      <c r="C17" t="n">
        <v>161</v>
      </c>
      <c r="D17" t="n">
        <v>0</v>
      </c>
      <c r="E17" t="n">
        <v>0</v>
      </c>
      <c r="I17" t="n">
        <v>0</v>
      </c>
      <c r="S17" t="n">
        <v>0</v>
      </c>
      <c r="X17" s="98" t="inlineStr">
        <is>
          <t xml:space="preserve"> </t>
        </is>
      </c>
      <c r="AA17" t="n">
        <v>0</v>
      </c>
      <c r="AB17" t="n">
        <v>0</v>
      </c>
      <c r="CB17" s="98" t="n">
        <v>2</v>
      </c>
      <c r="CC17" t="n">
        <v>0</v>
      </c>
      <c r="CD17" t="n">
        <v>2</v>
      </c>
      <c r="CE17" t="n">
        <v>0</v>
      </c>
      <c r="CF17" t="n">
        <v>0</v>
      </c>
      <c r="CG17" t="n">
        <v>0</v>
      </c>
      <c r="CH17" t="n">
        <v>4</v>
      </c>
      <c r="CI17" t="n">
        <v>0</v>
      </c>
      <c r="CJ17" t="n">
        <v>6</v>
      </c>
      <c r="CK17" t="n">
        <v>0</v>
      </c>
      <c r="CL17" t="n">
        <v>167</v>
      </c>
    </row>
    <row r="18">
      <c r="A18" t="inlineStr">
        <is>
          <t>Ganter F.</t>
        </is>
      </c>
      <c r="B18" t="inlineStr">
        <is>
          <t>M</t>
        </is>
      </c>
      <c r="C18" t="n">
        <v>380</v>
      </c>
      <c r="X18" s="98" t="inlineStr">
        <is>
          <t xml:space="preserve"> </t>
        </is>
      </c>
      <c r="CB18" s="9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380</v>
      </c>
    </row>
    <row r="19">
      <c r="A19" t="inlineStr">
        <is>
          <t>Glase Rico</t>
        </is>
      </c>
      <c r="B19" t="inlineStr">
        <is>
          <t>M</t>
        </is>
      </c>
      <c r="C19" t="n">
        <v>27</v>
      </c>
      <c r="X19" s="98" t="inlineStr">
        <is>
          <t xml:space="preserve"> </t>
        </is>
      </c>
      <c r="CB19" s="98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27</v>
      </c>
    </row>
    <row r="20">
      <c r="A20" t="inlineStr">
        <is>
          <t>Günter Ralf</t>
        </is>
      </c>
      <c r="B20" t="inlineStr">
        <is>
          <t>L</t>
        </is>
      </c>
      <c r="C20" t="n">
        <v>70</v>
      </c>
      <c r="E20" t="n">
        <v>0</v>
      </c>
      <c r="G20" t="n">
        <v>0</v>
      </c>
      <c r="H20" t="n">
        <v>0</v>
      </c>
      <c r="I20" t="n">
        <v>0</v>
      </c>
      <c r="S20" t="n">
        <v>0</v>
      </c>
      <c r="X20" s="98" t="n">
        <v>0</v>
      </c>
      <c r="Z20" t="n">
        <v>0</v>
      </c>
      <c r="AS20" t="n">
        <v>0</v>
      </c>
      <c r="AU20" t="n">
        <v>0</v>
      </c>
      <c r="AW20" t="n">
        <v>0</v>
      </c>
      <c r="BG20" t="n">
        <v>0</v>
      </c>
      <c r="BI20" t="n">
        <v>0</v>
      </c>
      <c r="BJ20" t="n">
        <v>0</v>
      </c>
      <c r="BP20" t="n">
        <v>0</v>
      </c>
      <c r="BQ20" t="n">
        <v>0</v>
      </c>
      <c r="BT20" t="n">
        <v>1</v>
      </c>
      <c r="CB20" s="98" t="n">
        <v>10</v>
      </c>
      <c r="CC20" t="n">
        <v>1</v>
      </c>
      <c r="CD20" t="n">
        <v>11</v>
      </c>
      <c r="CE20" t="n">
        <v>1</v>
      </c>
      <c r="CF20" t="n">
        <v>0</v>
      </c>
      <c r="CG20" t="n">
        <v>1</v>
      </c>
      <c r="CH20" t="n">
        <v>5</v>
      </c>
      <c r="CI20" t="n">
        <v>0</v>
      </c>
      <c r="CJ20" t="n">
        <v>16</v>
      </c>
      <c r="CK20" t="n">
        <v>1</v>
      </c>
      <c r="CL20" t="n">
        <v>86</v>
      </c>
    </row>
    <row r="21">
      <c r="A21" t="inlineStr">
        <is>
          <t>Haberstroh Benny</t>
        </is>
      </c>
      <c r="B21" t="inlineStr">
        <is>
          <t>M</t>
        </is>
      </c>
      <c r="C21" t="n">
        <v>16</v>
      </c>
      <c r="X21" s="98" t="inlineStr">
        <is>
          <t xml:space="preserve"> </t>
        </is>
      </c>
      <c r="CB21" s="98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16</v>
      </c>
    </row>
    <row r="22">
      <c r="A22" t="inlineStr">
        <is>
          <t>Haberstroh Michael</t>
        </is>
      </c>
      <c r="B22" t="inlineStr">
        <is>
          <t>M</t>
        </is>
      </c>
      <c r="C22" t="n">
        <v>3</v>
      </c>
      <c r="X22" s="98" t="inlineStr">
        <is>
          <t xml:space="preserve"> </t>
        </is>
      </c>
      <c r="CB22" s="98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3</v>
      </c>
    </row>
    <row r="23">
      <c r="A23" t="inlineStr">
        <is>
          <t>Haberstroh Raphael</t>
        </is>
      </c>
      <c r="B23" t="inlineStr">
        <is>
          <t>M</t>
        </is>
      </c>
      <c r="C23" t="n">
        <v>46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S23" t="n">
        <v>0</v>
      </c>
      <c r="X23" s="98" t="inlineStr">
        <is>
          <t xml:space="preserve"> </t>
        </is>
      </c>
      <c r="Y23" t="n">
        <v>0</v>
      </c>
      <c r="Z23" t="n">
        <v>0</v>
      </c>
      <c r="AA23" t="n">
        <v>0</v>
      </c>
      <c r="AB23" t="n">
        <v>0</v>
      </c>
      <c r="AH23" t="n">
        <v>0</v>
      </c>
      <c r="AJ23" t="n">
        <v>0</v>
      </c>
      <c r="AL23" t="n">
        <v>0</v>
      </c>
      <c r="AM23" t="n">
        <v>0</v>
      </c>
      <c r="AU23" t="n">
        <v>0</v>
      </c>
      <c r="AW23" t="n">
        <v>0</v>
      </c>
      <c r="AX23" t="n">
        <v>0</v>
      </c>
      <c r="AY23" t="n">
        <v>0</v>
      </c>
      <c r="BA23" t="n">
        <v>0</v>
      </c>
      <c r="BC23" t="n">
        <v>0</v>
      </c>
      <c r="BE23" t="n">
        <v>0</v>
      </c>
      <c r="BG23" t="n">
        <v>0</v>
      </c>
      <c r="BI23" t="n">
        <v>0</v>
      </c>
      <c r="BJ23" t="n">
        <v>0</v>
      </c>
      <c r="BL23" t="n">
        <v>0</v>
      </c>
      <c r="BN23" t="n">
        <v>0</v>
      </c>
      <c r="BS23" t="n">
        <v>0</v>
      </c>
      <c r="BT23" t="n">
        <v>1</v>
      </c>
      <c r="CB23" s="98" t="n">
        <v>21</v>
      </c>
      <c r="CC23" t="n">
        <v>0</v>
      </c>
      <c r="CD23" t="n">
        <v>21</v>
      </c>
      <c r="CE23" t="n">
        <v>1</v>
      </c>
      <c r="CF23" t="n">
        <v>0</v>
      </c>
      <c r="CG23" t="n">
        <v>1</v>
      </c>
      <c r="CH23" t="n">
        <v>7</v>
      </c>
      <c r="CI23" t="n">
        <v>0</v>
      </c>
      <c r="CJ23" t="n">
        <v>28</v>
      </c>
      <c r="CK23" t="n">
        <v>1</v>
      </c>
      <c r="CL23" t="n">
        <v>74</v>
      </c>
    </row>
    <row r="24">
      <c r="A24" t="inlineStr">
        <is>
          <t>Heilmann M.</t>
        </is>
      </c>
      <c r="B24" t="inlineStr">
        <is>
          <t>M</t>
        </is>
      </c>
      <c r="C24" t="n">
        <v>243</v>
      </c>
      <c r="X24" s="98" t="inlineStr">
        <is>
          <t xml:space="preserve"> </t>
        </is>
      </c>
      <c r="CB24" s="98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243</v>
      </c>
    </row>
    <row r="25">
      <c r="A25" t="inlineStr">
        <is>
          <t>Hornikel A.</t>
        </is>
      </c>
      <c r="B25" t="inlineStr">
        <is>
          <t>M</t>
        </is>
      </c>
      <c r="C25" t="n">
        <v>336</v>
      </c>
      <c r="X25" s="98" t="inlineStr">
        <is>
          <t xml:space="preserve"> </t>
        </is>
      </c>
      <c r="CB25" s="98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336</v>
      </c>
    </row>
    <row r="26">
      <c r="A26" t="inlineStr">
        <is>
          <t>Jäckle M.</t>
        </is>
      </c>
      <c r="B26" t="inlineStr">
        <is>
          <t>M</t>
        </is>
      </c>
      <c r="C26" t="n">
        <v>274</v>
      </c>
      <c r="X26" s="98" t="inlineStr">
        <is>
          <t xml:space="preserve"> </t>
        </is>
      </c>
      <c r="CB26" s="98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274</v>
      </c>
    </row>
    <row r="27">
      <c r="A27" t="inlineStr">
        <is>
          <t>Jaki S.</t>
        </is>
      </c>
      <c r="B27" t="inlineStr">
        <is>
          <t>M</t>
        </is>
      </c>
      <c r="C27" t="n">
        <v>417</v>
      </c>
      <c r="D27" t="n">
        <v>0</v>
      </c>
      <c r="E27" t="n">
        <v>0</v>
      </c>
      <c r="F27" t="n">
        <v>0</v>
      </c>
      <c r="G27" t="n">
        <v>0</v>
      </c>
      <c r="I27" t="n">
        <v>0</v>
      </c>
      <c r="K27" t="n">
        <v>6</v>
      </c>
      <c r="X27" s="98" t="n">
        <v>0</v>
      </c>
      <c r="Y27" t="n">
        <v>0</v>
      </c>
      <c r="Z27" t="n">
        <v>0</v>
      </c>
      <c r="AD27" t="n">
        <v>0</v>
      </c>
      <c r="AG27" t="n">
        <v>0</v>
      </c>
      <c r="AH27" t="n">
        <v>0</v>
      </c>
      <c r="AJ27" t="n">
        <v>0</v>
      </c>
      <c r="AL27" t="n">
        <v>0</v>
      </c>
      <c r="AQ27" t="n">
        <v>0</v>
      </c>
      <c r="AS27" t="n">
        <v>0</v>
      </c>
      <c r="AX27" t="n">
        <v>0</v>
      </c>
      <c r="AY27" t="n">
        <v>0</v>
      </c>
      <c r="BA27" t="n">
        <v>0</v>
      </c>
      <c r="BC27" t="n">
        <v>0</v>
      </c>
      <c r="BE27" t="n">
        <v>0</v>
      </c>
      <c r="BN27" t="n">
        <v>0</v>
      </c>
      <c r="BO27" t="n">
        <v>0</v>
      </c>
      <c r="BR27" t="n">
        <v>0</v>
      </c>
      <c r="BS27" t="n">
        <v>0</v>
      </c>
      <c r="BT27" t="n">
        <v>10</v>
      </c>
      <c r="CB27" s="98" t="n">
        <v>18</v>
      </c>
      <c r="CC27" t="n">
        <v>1</v>
      </c>
      <c r="CD27" t="n">
        <v>19</v>
      </c>
      <c r="CE27" t="n">
        <v>10</v>
      </c>
      <c r="CF27" t="n">
        <v>0</v>
      </c>
      <c r="CG27" t="n">
        <v>10</v>
      </c>
      <c r="CH27" t="n">
        <v>6</v>
      </c>
      <c r="CI27" t="n">
        <v>6</v>
      </c>
      <c r="CJ27" t="n">
        <v>25</v>
      </c>
      <c r="CK27" t="n">
        <v>16</v>
      </c>
      <c r="CL27" t="n">
        <v>442</v>
      </c>
    </row>
    <row r="28">
      <c r="A28" t="inlineStr">
        <is>
          <t>Jauch Jo.</t>
        </is>
      </c>
      <c r="B28" t="inlineStr">
        <is>
          <t>M</t>
        </is>
      </c>
      <c r="C28" t="n">
        <v>334</v>
      </c>
      <c r="G28" t="n">
        <v>0</v>
      </c>
      <c r="H28" t="n">
        <v>0</v>
      </c>
      <c r="I28" t="n">
        <v>0</v>
      </c>
      <c r="X28" s="98" t="n">
        <v>0</v>
      </c>
      <c r="Y28" t="n">
        <v>0</v>
      </c>
      <c r="Z28" t="n">
        <v>0</v>
      </c>
      <c r="AA28" t="n">
        <v>0</v>
      </c>
      <c r="AB28" t="n">
        <v>0</v>
      </c>
      <c r="AD28" t="n">
        <v>0</v>
      </c>
      <c r="CB28" s="98" t="n">
        <v>6</v>
      </c>
      <c r="CC28" t="n">
        <v>0</v>
      </c>
      <c r="CD28" t="n">
        <v>6</v>
      </c>
      <c r="CE28" t="n">
        <v>0</v>
      </c>
      <c r="CF28" t="n">
        <v>0</v>
      </c>
      <c r="CG28" t="n">
        <v>0</v>
      </c>
      <c r="CH28" t="n">
        <v>3</v>
      </c>
      <c r="CI28" t="n">
        <v>0</v>
      </c>
      <c r="CJ28" t="n">
        <v>9</v>
      </c>
      <c r="CK28" t="n">
        <v>0</v>
      </c>
      <c r="CL28" t="n">
        <v>343</v>
      </c>
    </row>
    <row r="29">
      <c r="A29" t="inlineStr">
        <is>
          <t>Jauch Jürgen</t>
        </is>
      </c>
      <c r="B29" t="inlineStr">
        <is>
          <t>M</t>
        </is>
      </c>
      <c r="C29" t="n">
        <v>214</v>
      </c>
      <c r="X29" s="98" t="inlineStr">
        <is>
          <t xml:space="preserve"> </t>
        </is>
      </c>
      <c r="CB29" s="98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214</v>
      </c>
    </row>
    <row r="30">
      <c r="A30" t="inlineStr">
        <is>
          <t>Klausmann M.</t>
        </is>
      </c>
      <c r="B30" t="inlineStr">
        <is>
          <t>M</t>
        </is>
      </c>
      <c r="C30" t="n">
        <v>253</v>
      </c>
      <c r="X30" s="98" t="inlineStr">
        <is>
          <t xml:space="preserve"> </t>
        </is>
      </c>
      <c r="CB30" s="98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253</v>
      </c>
    </row>
    <row r="31">
      <c r="A31" t="inlineStr">
        <is>
          <t>Klein Daniel</t>
        </is>
      </c>
      <c r="B31" t="inlineStr">
        <is>
          <t>M</t>
        </is>
      </c>
      <c r="C31" t="n">
        <v>106</v>
      </c>
      <c r="X31" s="98" t="inlineStr">
        <is>
          <t xml:space="preserve"> </t>
        </is>
      </c>
      <c r="AG31" t="n">
        <v>0</v>
      </c>
      <c r="AH31" t="n">
        <v>0</v>
      </c>
      <c r="AJ31" t="n">
        <v>0</v>
      </c>
      <c r="AL31" t="n">
        <v>0</v>
      </c>
      <c r="AM31" t="n">
        <v>0</v>
      </c>
      <c r="AQ31" t="n">
        <v>0</v>
      </c>
      <c r="AS31" t="n">
        <v>0</v>
      </c>
      <c r="AU31" t="n">
        <v>0</v>
      </c>
      <c r="AX31" t="n">
        <v>0</v>
      </c>
      <c r="AY31" t="n">
        <v>0</v>
      </c>
      <c r="BA31" t="n">
        <v>0</v>
      </c>
      <c r="BC31" t="n">
        <v>0</v>
      </c>
      <c r="BE31" t="n">
        <v>0</v>
      </c>
      <c r="BG31" t="n">
        <v>0</v>
      </c>
      <c r="BI31" t="n">
        <v>0</v>
      </c>
      <c r="BJ31" t="n">
        <v>0</v>
      </c>
      <c r="BL31" t="n">
        <v>0</v>
      </c>
      <c r="BN31" t="n">
        <v>0</v>
      </c>
      <c r="BP31" t="n">
        <v>0</v>
      </c>
      <c r="BR31" t="n">
        <v>0</v>
      </c>
      <c r="BS31" t="n">
        <v>0</v>
      </c>
      <c r="CB31" s="98" t="n">
        <v>20</v>
      </c>
      <c r="CC31" t="n">
        <v>0</v>
      </c>
      <c r="CD31" t="n">
        <v>20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20</v>
      </c>
      <c r="CK31" t="n">
        <v>0</v>
      </c>
      <c r="CL31" t="n">
        <v>126</v>
      </c>
    </row>
    <row r="32">
      <c r="A32" t="inlineStr">
        <is>
          <t>Linder Andreas</t>
        </is>
      </c>
      <c r="B32" t="inlineStr">
        <is>
          <t>L</t>
        </is>
      </c>
      <c r="C32" t="n">
        <v>35</v>
      </c>
      <c r="X32" s="98" t="inlineStr">
        <is>
          <t xml:space="preserve"> </t>
        </is>
      </c>
      <c r="CB32" s="98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35</v>
      </c>
    </row>
    <row r="33">
      <c r="A33" t="inlineStr">
        <is>
          <t>Löffler Marius</t>
        </is>
      </c>
      <c r="B33" t="inlineStr">
        <is>
          <t>L</t>
        </is>
      </c>
      <c r="C33" t="n">
        <v>28</v>
      </c>
      <c r="E33" t="n">
        <v>0</v>
      </c>
      <c r="F33" t="n">
        <v>0</v>
      </c>
      <c r="G33" t="n">
        <v>0</v>
      </c>
      <c r="H33" t="n">
        <v>0</v>
      </c>
      <c r="K33" t="n">
        <v>1</v>
      </c>
      <c r="X33" s="98" t="n">
        <v>0</v>
      </c>
      <c r="Y33" t="n">
        <v>0</v>
      </c>
      <c r="Z33" t="n">
        <v>0</v>
      </c>
      <c r="AA33" t="n">
        <v>0</v>
      </c>
      <c r="AB33" t="n">
        <v>0</v>
      </c>
      <c r="AD33" t="n">
        <v>0</v>
      </c>
      <c r="AG33" t="n">
        <v>0</v>
      </c>
      <c r="AJ33" t="n">
        <v>0</v>
      </c>
      <c r="AL33" t="n">
        <v>0</v>
      </c>
      <c r="AM33" t="n">
        <v>0</v>
      </c>
      <c r="AQ33" t="n">
        <v>0</v>
      </c>
      <c r="AS33" t="n">
        <v>0</v>
      </c>
      <c r="AU33" t="n">
        <v>0</v>
      </c>
      <c r="AW33" t="n">
        <v>0</v>
      </c>
      <c r="AY33" t="n">
        <v>0</v>
      </c>
      <c r="BC33" t="n">
        <v>0</v>
      </c>
      <c r="BE33" t="n">
        <v>0</v>
      </c>
      <c r="BG33" t="n">
        <v>0</v>
      </c>
      <c r="BI33" t="n">
        <v>0</v>
      </c>
      <c r="BJ33" t="n">
        <v>0</v>
      </c>
      <c r="BP33" t="n">
        <v>0</v>
      </c>
      <c r="BR33" t="n">
        <v>0</v>
      </c>
      <c r="BT33" t="n">
        <v>1</v>
      </c>
      <c r="CB33" s="98" t="n">
        <v>23</v>
      </c>
      <c r="CC33" t="n">
        <v>0</v>
      </c>
      <c r="CD33" t="n">
        <v>23</v>
      </c>
      <c r="CE33" t="n">
        <v>1</v>
      </c>
      <c r="CF33" t="n">
        <v>0</v>
      </c>
      <c r="CG33" t="n">
        <v>1</v>
      </c>
      <c r="CH33" t="n">
        <v>5</v>
      </c>
      <c r="CI33" t="n">
        <v>1</v>
      </c>
      <c r="CJ33" t="n">
        <v>28</v>
      </c>
      <c r="CK33" t="n">
        <v>2</v>
      </c>
      <c r="CL33" t="n">
        <v>56</v>
      </c>
    </row>
    <row r="34">
      <c r="A34" t="inlineStr">
        <is>
          <t>Marte Marvin</t>
        </is>
      </c>
      <c r="B34" t="inlineStr">
        <is>
          <t>M</t>
        </is>
      </c>
      <c r="C34" t="n">
        <v>40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S34" t="n">
        <v>0</v>
      </c>
      <c r="X34" s="98" t="n">
        <v>0</v>
      </c>
      <c r="Y34" t="n">
        <v>0</v>
      </c>
      <c r="Z34" t="n">
        <v>0</v>
      </c>
      <c r="AA34" t="n">
        <v>0</v>
      </c>
      <c r="AB34" t="n">
        <v>0</v>
      </c>
      <c r="AD34" t="n">
        <v>0</v>
      </c>
      <c r="AG34" t="n">
        <v>0</v>
      </c>
      <c r="AH34" t="n">
        <v>0</v>
      </c>
      <c r="AJ34" t="n">
        <v>0</v>
      </c>
      <c r="AL34" t="n">
        <v>0</v>
      </c>
      <c r="AM34" t="n">
        <v>0</v>
      </c>
      <c r="AQ34" t="n">
        <v>0</v>
      </c>
      <c r="AS34" t="n">
        <v>0</v>
      </c>
      <c r="AU34" t="n">
        <v>0</v>
      </c>
      <c r="AX34" t="n">
        <v>0</v>
      </c>
      <c r="AY34" t="n">
        <v>0</v>
      </c>
      <c r="BC34" t="n">
        <v>0</v>
      </c>
      <c r="BE34" t="n">
        <v>0</v>
      </c>
      <c r="BG34" t="n">
        <v>0</v>
      </c>
      <c r="BI34" t="n">
        <v>0</v>
      </c>
      <c r="BJ34" t="n">
        <v>0</v>
      </c>
      <c r="BL34" t="n">
        <v>0</v>
      </c>
      <c r="BN34" t="n">
        <v>0</v>
      </c>
      <c r="BP34" t="n">
        <v>0</v>
      </c>
      <c r="BR34" t="n">
        <v>0</v>
      </c>
      <c r="BS34" t="n">
        <v>0</v>
      </c>
      <c r="BT34" t="n">
        <v>4</v>
      </c>
      <c r="CB34" s="98" t="n">
        <v>26</v>
      </c>
      <c r="CC34" t="n">
        <v>0</v>
      </c>
      <c r="CD34" t="n">
        <v>26</v>
      </c>
      <c r="CE34" t="n">
        <v>4</v>
      </c>
      <c r="CF34" t="n">
        <v>0</v>
      </c>
      <c r="CG34" t="n">
        <v>4</v>
      </c>
      <c r="CH34" t="n">
        <v>6</v>
      </c>
      <c r="CI34" t="n">
        <v>0</v>
      </c>
      <c r="CJ34" t="n">
        <v>32</v>
      </c>
      <c r="CK34" t="n">
        <v>4</v>
      </c>
      <c r="CL34" t="n">
        <v>72</v>
      </c>
    </row>
    <row r="35">
      <c r="A35" t="inlineStr">
        <is>
          <t>Moosmann J.</t>
        </is>
      </c>
      <c r="B35" t="inlineStr">
        <is>
          <t>L</t>
        </is>
      </c>
      <c r="C35" t="n">
        <v>40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X35" s="98" t="inlineStr">
        <is>
          <t xml:space="preserve"> </t>
        </is>
      </c>
      <c r="AB35" t="n">
        <v>0</v>
      </c>
      <c r="AD35" t="n">
        <v>0</v>
      </c>
      <c r="AJ35" t="n">
        <v>0</v>
      </c>
      <c r="AL35" t="n">
        <v>0</v>
      </c>
      <c r="AM35" t="n">
        <v>0</v>
      </c>
      <c r="AQ35" t="n">
        <v>0</v>
      </c>
      <c r="AS35" t="n">
        <v>0</v>
      </c>
      <c r="AX35" t="n">
        <v>0</v>
      </c>
      <c r="BA35" t="n">
        <v>0</v>
      </c>
      <c r="BC35" t="n">
        <v>0</v>
      </c>
      <c r="BE35" t="n">
        <v>0</v>
      </c>
      <c r="BG35" t="n">
        <v>0</v>
      </c>
      <c r="BI35" t="n">
        <v>0</v>
      </c>
      <c r="BJ35" t="n">
        <v>0</v>
      </c>
      <c r="BL35" t="n">
        <v>0</v>
      </c>
      <c r="BN35" t="n">
        <v>0</v>
      </c>
      <c r="BP35" t="n">
        <v>0</v>
      </c>
      <c r="BR35" t="n">
        <v>0</v>
      </c>
      <c r="BS35" t="n">
        <v>0</v>
      </c>
      <c r="CB35" s="98" t="n">
        <v>18</v>
      </c>
      <c r="CC35" t="n">
        <v>0</v>
      </c>
      <c r="CD35" t="n">
        <v>18</v>
      </c>
      <c r="CE35" t="n">
        <v>0</v>
      </c>
      <c r="CF35" t="n">
        <v>0</v>
      </c>
      <c r="CG35" t="n">
        <v>0</v>
      </c>
      <c r="CH35" t="n">
        <v>5</v>
      </c>
      <c r="CI35" t="n">
        <v>0</v>
      </c>
      <c r="CJ35" t="n">
        <v>23</v>
      </c>
      <c r="CK35" t="n">
        <v>0</v>
      </c>
      <c r="CL35" t="n">
        <v>63</v>
      </c>
    </row>
    <row r="36">
      <c r="A36" t="inlineStr">
        <is>
          <t>Moosmann M.</t>
        </is>
      </c>
      <c r="B36" t="inlineStr">
        <is>
          <t>M</t>
        </is>
      </c>
      <c r="C36" t="n">
        <v>351</v>
      </c>
      <c r="X36" s="98" t="inlineStr">
        <is>
          <t xml:space="preserve"> </t>
        </is>
      </c>
      <c r="CB36" s="98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351</v>
      </c>
    </row>
    <row r="37">
      <c r="A37" t="inlineStr">
        <is>
          <t>Müller Thorsten</t>
        </is>
      </c>
      <c r="B37" t="inlineStr">
        <is>
          <t>M</t>
        </is>
      </c>
      <c r="C37" t="n">
        <v>6</v>
      </c>
      <c r="X37" s="98" t="inlineStr">
        <is>
          <t xml:space="preserve"> </t>
        </is>
      </c>
      <c r="CB37" s="98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6</v>
      </c>
    </row>
    <row r="38">
      <c r="A38" t="inlineStr">
        <is>
          <t>Müller-Kohl, Ricardo</t>
        </is>
      </c>
      <c r="B38" t="inlineStr">
        <is>
          <t>M</t>
        </is>
      </c>
      <c r="C38" t="n">
        <v>4</v>
      </c>
      <c r="X38" s="98" t="inlineStr">
        <is>
          <t xml:space="preserve"> </t>
        </is>
      </c>
      <c r="CB38" s="9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4</v>
      </c>
    </row>
    <row r="39">
      <c r="A39" t="inlineStr">
        <is>
          <t>Murer Matthias</t>
        </is>
      </c>
      <c r="B39" t="inlineStr">
        <is>
          <t>L</t>
        </is>
      </c>
      <c r="C39" t="n">
        <v>151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S39" t="n">
        <v>0</v>
      </c>
      <c r="X39" s="98" t="n">
        <v>0</v>
      </c>
      <c r="Y39" t="n">
        <v>0</v>
      </c>
      <c r="Z39" t="n">
        <v>0</v>
      </c>
      <c r="AA39" t="n">
        <v>0</v>
      </c>
      <c r="AB39" t="n">
        <v>0</v>
      </c>
      <c r="AD39" t="n">
        <v>0</v>
      </c>
      <c r="AG39" t="n">
        <v>0</v>
      </c>
      <c r="AJ39" t="n">
        <v>0</v>
      </c>
      <c r="AL39" t="n">
        <v>0</v>
      </c>
      <c r="AM39" t="n">
        <v>0</v>
      </c>
      <c r="AQ39" t="n">
        <v>0</v>
      </c>
      <c r="AS39" t="n">
        <v>0</v>
      </c>
      <c r="AW39" t="n">
        <v>0</v>
      </c>
      <c r="AX39" t="n">
        <v>0</v>
      </c>
      <c r="AY39" t="n">
        <v>0</v>
      </c>
      <c r="BA39" t="n">
        <v>0</v>
      </c>
      <c r="BC39" t="n">
        <v>0</v>
      </c>
      <c r="BE39" t="n">
        <v>0</v>
      </c>
      <c r="BG39" t="n">
        <v>0</v>
      </c>
      <c r="BI39" t="n">
        <v>0</v>
      </c>
      <c r="BL39" t="n">
        <v>0</v>
      </c>
      <c r="BP39" t="n">
        <v>0</v>
      </c>
      <c r="BR39" t="n">
        <v>0</v>
      </c>
      <c r="BS39" t="n">
        <v>0</v>
      </c>
      <c r="BT39" t="n">
        <v>1</v>
      </c>
      <c r="CB39" s="98" t="n">
        <v>24</v>
      </c>
      <c r="CC39" t="n">
        <v>0</v>
      </c>
      <c r="CD39" t="n">
        <v>24</v>
      </c>
      <c r="CE39" t="n">
        <v>1</v>
      </c>
      <c r="CF39" t="n">
        <v>0</v>
      </c>
      <c r="CG39" t="n">
        <v>1</v>
      </c>
      <c r="CH39" t="n">
        <v>6</v>
      </c>
      <c r="CI39" t="n">
        <v>0</v>
      </c>
      <c r="CJ39" t="n">
        <v>30</v>
      </c>
      <c r="CK39" t="n">
        <v>1</v>
      </c>
      <c r="CL39" t="n">
        <v>181</v>
      </c>
    </row>
    <row r="40">
      <c r="A40" t="inlineStr">
        <is>
          <t>Oehler Alex</t>
        </is>
      </c>
      <c r="B40" t="inlineStr">
        <is>
          <t>L</t>
        </is>
      </c>
      <c r="C40" t="n">
        <v>24</v>
      </c>
      <c r="X40" s="98" t="inlineStr">
        <is>
          <t xml:space="preserve"> </t>
        </is>
      </c>
      <c r="CB40" s="98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24</v>
      </c>
    </row>
    <row r="41">
      <c r="A41" t="inlineStr">
        <is>
          <t>Oehler Christoph</t>
        </is>
      </c>
      <c r="B41" t="inlineStr">
        <is>
          <t>L</t>
        </is>
      </c>
      <c r="C41" t="n">
        <v>52</v>
      </c>
      <c r="D41" t="n">
        <v>0</v>
      </c>
      <c r="I41" t="n">
        <v>0</v>
      </c>
      <c r="X41" s="98" t="inlineStr">
        <is>
          <t xml:space="preserve"> </t>
        </is>
      </c>
      <c r="CB41" s="98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2</v>
      </c>
      <c r="CI41" t="n">
        <v>0</v>
      </c>
      <c r="CJ41" t="n">
        <v>2</v>
      </c>
      <c r="CK41" t="n">
        <v>0</v>
      </c>
      <c r="CL41" t="n">
        <v>54</v>
      </c>
    </row>
    <row r="42">
      <c r="A42" t="inlineStr">
        <is>
          <t>Pfundstein Andreas</t>
        </is>
      </c>
      <c r="B42" t="inlineStr">
        <is>
          <t>L</t>
        </is>
      </c>
      <c r="C42" t="n">
        <v>100</v>
      </c>
      <c r="D42" t="n">
        <v>0</v>
      </c>
      <c r="E42" t="n">
        <v>0</v>
      </c>
      <c r="G42" t="n">
        <v>0</v>
      </c>
      <c r="X42" s="98" t="inlineStr">
        <is>
          <t xml:space="preserve"> </t>
        </is>
      </c>
      <c r="AH42" t="n">
        <v>0</v>
      </c>
      <c r="AW42" t="n">
        <v>0</v>
      </c>
      <c r="CB42" s="98" t="n">
        <v>2</v>
      </c>
      <c r="CC42" t="n">
        <v>0</v>
      </c>
      <c r="CD42" t="n">
        <v>2</v>
      </c>
      <c r="CE42" t="n">
        <v>0</v>
      </c>
      <c r="CF42" t="n">
        <v>0</v>
      </c>
      <c r="CG42" t="n">
        <v>0</v>
      </c>
      <c r="CH42" t="n">
        <v>3</v>
      </c>
      <c r="CI42" t="n">
        <v>0</v>
      </c>
      <c r="CJ42" t="n">
        <v>5</v>
      </c>
      <c r="CK42" t="n">
        <v>0</v>
      </c>
      <c r="CL42" t="n">
        <v>105</v>
      </c>
    </row>
    <row r="43">
      <c r="A43" t="inlineStr">
        <is>
          <t>Preuss Jonas</t>
        </is>
      </c>
      <c r="B43" t="inlineStr">
        <is>
          <t>M</t>
        </is>
      </c>
      <c r="C43" t="n">
        <v>107</v>
      </c>
      <c r="D43" t="n">
        <v>0</v>
      </c>
      <c r="E43" t="n">
        <v>0</v>
      </c>
      <c r="F43" t="n">
        <v>0</v>
      </c>
      <c r="G43" t="n">
        <v>0</v>
      </c>
      <c r="I43" t="n">
        <v>0</v>
      </c>
      <c r="K43" t="n">
        <v>4</v>
      </c>
      <c r="S43" t="n">
        <v>0</v>
      </c>
      <c r="X43" s="98" t="n">
        <v>0</v>
      </c>
      <c r="Y43" t="n">
        <v>0</v>
      </c>
      <c r="Z43" t="n">
        <v>0</v>
      </c>
      <c r="AA43" t="n">
        <v>0</v>
      </c>
      <c r="AB43" t="n">
        <v>0</v>
      </c>
      <c r="AD43" t="n">
        <v>0</v>
      </c>
      <c r="AG43" t="n">
        <v>0</v>
      </c>
      <c r="AH43" t="n">
        <v>0</v>
      </c>
      <c r="AJ43" t="n">
        <v>0</v>
      </c>
      <c r="AL43" t="n">
        <v>0</v>
      </c>
      <c r="AM43" t="n">
        <v>0</v>
      </c>
      <c r="AQ43" t="n">
        <v>0</v>
      </c>
      <c r="AS43" t="n">
        <v>0</v>
      </c>
      <c r="AU43" t="n">
        <v>0</v>
      </c>
      <c r="AW43" t="n">
        <v>0</v>
      </c>
      <c r="AX43" t="n">
        <v>0</v>
      </c>
      <c r="AY43" t="n">
        <v>0</v>
      </c>
      <c r="AZ43" t="n">
        <v>0</v>
      </c>
      <c r="BG43" t="n">
        <v>0</v>
      </c>
      <c r="BJ43" t="n">
        <v>0</v>
      </c>
      <c r="BL43" t="n">
        <v>0</v>
      </c>
      <c r="BN43" t="n">
        <v>0</v>
      </c>
      <c r="BP43" t="n">
        <v>0</v>
      </c>
      <c r="BR43" t="n">
        <v>0</v>
      </c>
      <c r="BS43" t="n">
        <v>0</v>
      </c>
      <c r="BT43" t="n">
        <v>8</v>
      </c>
      <c r="CB43" s="98" t="n">
        <v>24</v>
      </c>
      <c r="CC43" t="n">
        <v>1</v>
      </c>
      <c r="CD43" t="n">
        <v>25</v>
      </c>
      <c r="CE43" t="n">
        <v>8</v>
      </c>
      <c r="CF43" t="n">
        <v>0</v>
      </c>
      <c r="CG43" t="n">
        <v>8</v>
      </c>
      <c r="CH43" t="n">
        <v>7</v>
      </c>
      <c r="CI43" t="n">
        <v>4</v>
      </c>
      <c r="CJ43" t="n">
        <v>32</v>
      </c>
      <c r="CK43" t="n">
        <v>12</v>
      </c>
      <c r="CL43" t="n">
        <v>139</v>
      </c>
    </row>
    <row r="44">
      <c r="A44" t="inlineStr">
        <is>
          <t>Preuss Philip</t>
        </is>
      </c>
      <c r="B44" t="inlineStr">
        <is>
          <t>M</t>
        </is>
      </c>
      <c r="C44" t="n">
        <v>40</v>
      </c>
      <c r="X44" s="98" t="inlineStr">
        <is>
          <t xml:space="preserve"> </t>
        </is>
      </c>
      <c r="CB44" s="98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40</v>
      </c>
    </row>
    <row r="45">
      <c r="A45" t="inlineStr">
        <is>
          <t>Reuter J.</t>
        </is>
      </c>
      <c r="B45" t="inlineStr">
        <is>
          <t>M</t>
        </is>
      </c>
      <c r="C45" t="n">
        <v>82</v>
      </c>
      <c r="X45" s="98" t="inlineStr">
        <is>
          <t xml:space="preserve"> </t>
        </is>
      </c>
      <c r="AG45" t="n">
        <v>0</v>
      </c>
      <c r="AH45" t="n">
        <v>0</v>
      </c>
      <c r="AL45" t="n">
        <v>0</v>
      </c>
      <c r="AM45" t="n">
        <v>0</v>
      </c>
      <c r="AQ45" t="n">
        <v>0</v>
      </c>
      <c r="AS45" t="n">
        <v>0</v>
      </c>
      <c r="AU45" t="n">
        <v>0</v>
      </c>
      <c r="AX45" t="n">
        <v>0</v>
      </c>
      <c r="AY45" t="n">
        <v>0</v>
      </c>
      <c r="BA45" t="n">
        <v>0</v>
      </c>
      <c r="BC45" t="n">
        <v>0</v>
      </c>
      <c r="BE45" t="n">
        <v>0</v>
      </c>
      <c r="BG45" t="n">
        <v>0</v>
      </c>
      <c r="BI45" t="n">
        <v>0</v>
      </c>
      <c r="BJ45" t="n">
        <v>0</v>
      </c>
      <c r="BL45" t="n">
        <v>0</v>
      </c>
      <c r="BN45" t="n">
        <v>0</v>
      </c>
      <c r="BP45" t="n">
        <v>0</v>
      </c>
      <c r="BR45" t="n">
        <v>0</v>
      </c>
      <c r="BS45" t="n">
        <v>0</v>
      </c>
      <c r="CB45" s="98" t="n">
        <v>19</v>
      </c>
      <c r="CC45" t="n">
        <v>0</v>
      </c>
      <c r="CD45" t="n">
        <v>19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19</v>
      </c>
      <c r="CK45" t="n">
        <v>0</v>
      </c>
      <c r="CL45" t="n">
        <v>101</v>
      </c>
    </row>
    <row r="46">
      <c r="A46" t="inlineStr">
        <is>
          <t>Roeder</t>
        </is>
      </c>
      <c r="B46" t="inlineStr">
        <is>
          <t>M</t>
        </is>
      </c>
      <c r="C46" t="n">
        <v>68</v>
      </c>
      <c r="X46" s="98" t="inlineStr">
        <is>
          <t xml:space="preserve"> </t>
        </is>
      </c>
      <c r="CB46" s="98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68</v>
      </c>
    </row>
    <row r="47">
      <c r="A47" t="inlineStr">
        <is>
          <t>Ruoff Ulli</t>
        </is>
      </c>
      <c r="B47" t="inlineStr">
        <is>
          <t>L</t>
        </is>
      </c>
      <c r="C47" t="n">
        <v>106</v>
      </c>
      <c r="D47" t="n">
        <v>0</v>
      </c>
      <c r="X47" s="98" t="inlineStr">
        <is>
          <t xml:space="preserve"> </t>
        </is>
      </c>
      <c r="BL47" t="n">
        <v>0</v>
      </c>
      <c r="BN47" t="n">
        <v>0</v>
      </c>
      <c r="BR47" t="n">
        <v>0</v>
      </c>
      <c r="CB47" s="98" t="n">
        <v>3</v>
      </c>
      <c r="CC47" t="n">
        <v>0</v>
      </c>
      <c r="CD47" t="n">
        <v>3</v>
      </c>
      <c r="CE47" t="n">
        <v>0</v>
      </c>
      <c r="CF47" t="n">
        <v>0</v>
      </c>
      <c r="CG47" t="n">
        <v>0</v>
      </c>
      <c r="CH47" t="n">
        <v>1</v>
      </c>
      <c r="CI47" t="n">
        <v>0</v>
      </c>
      <c r="CJ47" t="n">
        <v>4</v>
      </c>
      <c r="CK47" t="n">
        <v>0</v>
      </c>
      <c r="CL47" t="n">
        <v>110</v>
      </c>
    </row>
    <row r="48">
      <c r="A48" t="inlineStr">
        <is>
          <t>Schaumann Seb</t>
        </is>
      </c>
      <c r="B48" t="inlineStr">
        <is>
          <t>M</t>
        </is>
      </c>
      <c r="C48" t="n">
        <v>3</v>
      </c>
      <c r="D48" t="n">
        <v>0</v>
      </c>
      <c r="E48" t="n">
        <v>0</v>
      </c>
      <c r="F48" t="n">
        <v>0</v>
      </c>
      <c r="H48" t="n">
        <v>0</v>
      </c>
      <c r="X48" s="98" t="inlineStr">
        <is>
          <t xml:space="preserve"> </t>
        </is>
      </c>
      <c r="BT48" t="n">
        <v>1</v>
      </c>
      <c r="CB48" s="98" t="n">
        <v>1</v>
      </c>
      <c r="CC48" t="n">
        <v>0</v>
      </c>
      <c r="CD48" t="n">
        <v>1</v>
      </c>
      <c r="CE48" t="n">
        <v>1</v>
      </c>
      <c r="CF48" t="n">
        <v>0</v>
      </c>
      <c r="CG48" t="n">
        <v>1</v>
      </c>
      <c r="CH48" t="n">
        <v>4</v>
      </c>
      <c r="CI48" t="n">
        <v>0</v>
      </c>
      <c r="CJ48" t="n">
        <v>5</v>
      </c>
      <c r="CK48" t="n">
        <v>1</v>
      </c>
      <c r="CL48" t="n">
        <v>8</v>
      </c>
    </row>
    <row r="49">
      <c r="A49" t="inlineStr">
        <is>
          <t>Schwenk Kevin</t>
        </is>
      </c>
      <c r="B49" t="inlineStr">
        <is>
          <t>L</t>
        </is>
      </c>
      <c r="C49" t="n">
        <v>53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S49" t="n">
        <v>0</v>
      </c>
      <c r="X49" s="98" t="n">
        <v>0</v>
      </c>
      <c r="Y49" t="n">
        <v>0</v>
      </c>
      <c r="Z49" t="n">
        <v>0</v>
      </c>
      <c r="AL49" t="n">
        <v>0</v>
      </c>
      <c r="AM49" t="n">
        <v>0</v>
      </c>
      <c r="AU49" t="n">
        <v>0</v>
      </c>
      <c r="AX49" t="n">
        <v>0</v>
      </c>
      <c r="AY49" t="n">
        <v>0</v>
      </c>
      <c r="BA49" t="n">
        <v>0</v>
      </c>
      <c r="BC49" t="n">
        <v>0</v>
      </c>
      <c r="BG49" t="n">
        <v>0</v>
      </c>
      <c r="BI49" t="n">
        <v>0</v>
      </c>
      <c r="BJ49" t="n">
        <v>0</v>
      </c>
      <c r="BL49" t="n">
        <v>0</v>
      </c>
      <c r="BN49" t="n">
        <v>0</v>
      </c>
      <c r="BP49" t="n">
        <v>0</v>
      </c>
      <c r="BR49" t="n">
        <v>0</v>
      </c>
      <c r="BS49" t="n">
        <v>0</v>
      </c>
      <c r="CB49" s="98" t="n">
        <v>17</v>
      </c>
      <c r="CC49" t="n">
        <v>0</v>
      </c>
      <c r="CD49" t="n">
        <v>17</v>
      </c>
      <c r="CE49" t="n">
        <v>0</v>
      </c>
      <c r="CF49" t="n">
        <v>0</v>
      </c>
      <c r="CG49" t="n">
        <v>0</v>
      </c>
      <c r="CH49" t="n">
        <v>7</v>
      </c>
      <c r="CI49" t="n">
        <v>0</v>
      </c>
      <c r="CJ49" t="n">
        <v>24</v>
      </c>
      <c r="CK49" t="n">
        <v>0</v>
      </c>
      <c r="CL49" t="n">
        <v>77</v>
      </c>
    </row>
    <row r="50">
      <c r="A50" t="inlineStr">
        <is>
          <t>Staiger Elmar</t>
        </is>
      </c>
      <c r="B50" t="inlineStr">
        <is>
          <t>L</t>
        </is>
      </c>
      <c r="C50" t="n">
        <v>73</v>
      </c>
      <c r="X50" s="98" t="inlineStr">
        <is>
          <t xml:space="preserve"> </t>
        </is>
      </c>
      <c r="CB50" s="98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73</v>
      </c>
    </row>
    <row r="51">
      <c r="A51" t="inlineStr">
        <is>
          <t>Staiger Tobias</t>
        </is>
      </c>
      <c r="B51" t="inlineStr">
        <is>
          <t>L</t>
        </is>
      </c>
      <c r="C51" t="n">
        <v>161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K51" t="n">
        <v>7</v>
      </c>
      <c r="S51" t="n">
        <v>0</v>
      </c>
      <c r="U51" t="n">
        <v>2</v>
      </c>
      <c r="X51" s="98" t="n">
        <v>0</v>
      </c>
      <c r="Y51" t="n">
        <v>0</v>
      </c>
      <c r="Z51" t="n">
        <v>0</v>
      </c>
      <c r="AA51" t="n">
        <v>0</v>
      </c>
      <c r="AB51" t="n">
        <v>0</v>
      </c>
      <c r="AD51" t="n">
        <v>0</v>
      </c>
      <c r="AG51" t="n">
        <v>0</v>
      </c>
      <c r="AH51" t="n">
        <v>0</v>
      </c>
      <c r="AJ51" t="n">
        <v>0</v>
      </c>
      <c r="AL51" t="n">
        <v>0</v>
      </c>
      <c r="AM51" t="n">
        <v>0</v>
      </c>
      <c r="AQ51" t="n">
        <v>0</v>
      </c>
      <c r="AX51" t="n">
        <v>0</v>
      </c>
      <c r="AY51" t="n">
        <v>0</v>
      </c>
      <c r="BA51" t="n">
        <v>0</v>
      </c>
      <c r="BE51" t="n">
        <v>0</v>
      </c>
      <c r="BG51" t="n">
        <v>0</v>
      </c>
      <c r="BI51" t="n">
        <v>0</v>
      </c>
      <c r="BJ51" t="n">
        <v>0</v>
      </c>
      <c r="BL51" t="n">
        <v>0</v>
      </c>
      <c r="BN51" t="n">
        <v>0</v>
      </c>
      <c r="BP51" t="n">
        <v>0</v>
      </c>
      <c r="BR51" t="n">
        <v>0</v>
      </c>
      <c r="BS51" t="n">
        <v>0</v>
      </c>
      <c r="BT51" t="n">
        <v>10</v>
      </c>
      <c r="CB51" s="98" t="n">
        <v>24</v>
      </c>
      <c r="CC51" t="n">
        <v>0</v>
      </c>
      <c r="CD51" t="n">
        <v>24</v>
      </c>
      <c r="CE51" t="n">
        <v>10</v>
      </c>
      <c r="CF51" t="n">
        <v>0</v>
      </c>
      <c r="CG51" t="n">
        <v>10</v>
      </c>
      <c r="CH51" t="n">
        <v>9</v>
      </c>
      <c r="CI51" t="n">
        <v>9</v>
      </c>
      <c r="CJ51" t="n">
        <v>33</v>
      </c>
      <c r="CK51" t="n">
        <v>19</v>
      </c>
      <c r="CL51" t="n">
        <v>194</v>
      </c>
    </row>
    <row r="52">
      <c r="A52" t="inlineStr">
        <is>
          <t>Stein Matthias</t>
        </is>
      </c>
      <c r="B52" t="inlineStr">
        <is>
          <t>L</t>
        </is>
      </c>
      <c r="C52" t="n">
        <v>8</v>
      </c>
      <c r="X52" s="98" t="inlineStr">
        <is>
          <t xml:space="preserve"> </t>
        </is>
      </c>
      <c r="CB52" s="98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8</v>
      </c>
    </row>
    <row r="53">
      <c r="A53" t="inlineStr">
        <is>
          <t>Stern Alexander</t>
        </is>
      </c>
      <c r="B53" t="inlineStr">
        <is>
          <t>M</t>
        </is>
      </c>
      <c r="C53" t="n">
        <v>6</v>
      </c>
      <c r="D53" t="n">
        <v>0</v>
      </c>
      <c r="E53" t="n">
        <v>0</v>
      </c>
      <c r="F53" t="n">
        <v>0</v>
      </c>
      <c r="H53" t="n">
        <v>0</v>
      </c>
      <c r="X53" s="98" t="inlineStr">
        <is>
          <t xml:space="preserve"> </t>
        </is>
      </c>
      <c r="CB53" s="98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4</v>
      </c>
      <c r="CI53" t="n">
        <v>0</v>
      </c>
      <c r="CJ53" t="n">
        <v>4</v>
      </c>
      <c r="CK53" t="n">
        <v>0</v>
      </c>
      <c r="CL53" t="n">
        <v>10</v>
      </c>
    </row>
    <row r="54">
      <c r="A54" t="inlineStr">
        <is>
          <t>Storz Tobi</t>
        </is>
      </c>
      <c r="B54" t="inlineStr">
        <is>
          <t>M</t>
        </is>
      </c>
      <c r="C54" t="n">
        <v>107</v>
      </c>
      <c r="X54" s="98" t="inlineStr">
        <is>
          <t xml:space="preserve"> </t>
        </is>
      </c>
      <c r="CB54" s="98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107</v>
      </c>
    </row>
    <row r="55">
      <c r="A55" t="inlineStr">
        <is>
          <t>Tramnitz Christoph</t>
        </is>
      </c>
      <c r="B55" t="inlineStr">
        <is>
          <t>L</t>
        </is>
      </c>
      <c r="C55" t="n">
        <v>37</v>
      </c>
      <c r="F55" t="n">
        <v>0</v>
      </c>
      <c r="X55" s="98" t="n">
        <v>0</v>
      </c>
      <c r="Y55" t="n">
        <v>0</v>
      </c>
      <c r="Z55" t="n">
        <v>0</v>
      </c>
      <c r="AD55" t="n">
        <v>0</v>
      </c>
      <c r="AG55" t="n">
        <v>0</v>
      </c>
      <c r="AH55" t="n">
        <v>0</v>
      </c>
      <c r="AJ55" t="n">
        <v>0</v>
      </c>
      <c r="AL55" t="n">
        <v>0</v>
      </c>
      <c r="AM55" t="n">
        <v>0</v>
      </c>
      <c r="AQ55" t="n">
        <v>0</v>
      </c>
      <c r="AS55" t="n">
        <v>0</v>
      </c>
      <c r="AU55" t="n">
        <v>0</v>
      </c>
      <c r="BS55" t="n">
        <v>0</v>
      </c>
      <c r="BT55" t="n">
        <v>1</v>
      </c>
      <c r="CB55" s="98" t="n">
        <v>13</v>
      </c>
      <c r="CC55" t="n">
        <v>0</v>
      </c>
      <c r="CD55" t="n">
        <v>13</v>
      </c>
      <c r="CE55" t="n">
        <v>1</v>
      </c>
      <c r="CF55" t="n">
        <v>0</v>
      </c>
      <c r="CG55" t="n">
        <v>1</v>
      </c>
      <c r="CH55" t="n">
        <v>1</v>
      </c>
      <c r="CI55" t="n">
        <v>0</v>
      </c>
      <c r="CJ55" t="n">
        <v>14</v>
      </c>
      <c r="CK55" t="n">
        <v>1</v>
      </c>
      <c r="CL55" t="n">
        <v>51</v>
      </c>
    </row>
    <row r="56">
      <c r="A56" t="inlineStr">
        <is>
          <t>Verino Roberto</t>
        </is>
      </c>
      <c r="B56" t="inlineStr">
        <is>
          <t>M</t>
        </is>
      </c>
      <c r="C56" t="n">
        <v>57</v>
      </c>
      <c r="E56" t="n">
        <v>0</v>
      </c>
      <c r="X56" s="98" t="inlineStr">
        <is>
          <t xml:space="preserve"> </t>
        </is>
      </c>
      <c r="AH56" t="n">
        <v>0</v>
      </c>
      <c r="AM56" t="n">
        <v>0</v>
      </c>
      <c r="AQ56" t="n">
        <v>0</v>
      </c>
      <c r="AS56" t="n">
        <v>0</v>
      </c>
      <c r="AU56" t="n">
        <v>0</v>
      </c>
      <c r="AW56" t="n">
        <v>0</v>
      </c>
      <c r="AX56" t="n">
        <v>0</v>
      </c>
      <c r="AY56" t="n">
        <v>0</v>
      </c>
      <c r="BA56" t="n">
        <v>0</v>
      </c>
      <c r="BC56" t="n">
        <v>0</v>
      </c>
      <c r="BE56" t="n">
        <v>0</v>
      </c>
      <c r="BJ56" t="n">
        <v>0</v>
      </c>
      <c r="BL56" t="n">
        <v>0</v>
      </c>
      <c r="BN56" t="n">
        <v>0</v>
      </c>
      <c r="BP56" t="n">
        <v>0</v>
      </c>
      <c r="BR56" t="n">
        <v>0</v>
      </c>
      <c r="BS56" t="n">
        <v>0</v>
      </c>
      <c r="CB56" s="98" t="n">
        <v>16</v>
      </c>
      <c r="CC56" t="n">
        <v>0</v>
      </c>
      <c r="CD56" t="n">
        <v>16</v>
      </c>
      <c r="CE56" t="n">
        <v>0</v>
      </c>
      <c r="CF56" t="n">
        <v>0</v>
      </c>
      <c r="CG56" t="n">
        <v>0</v>
      </c>
      <c r="CH56" t="n">
        <v>1</v>
      </c>
      <c r="CI56" t="n">
        <v>0</v>
      </c>
      <c r="CJ56" t="n">
        <v>17</v>
      </c>
      <c r="CK56" t="n">
        <v>0</v>
      </c>
      <c r="CL56" t="n">
        <v>74</v>
      </c>
    </row>
    <row r="57">
      <c r="A57" t="inlineStr">
        <is>
          <t>Zehnder Matze</t>
        </is>
      </c>
      <c r="B57" t="inlineStr">
        <is>
          <t>M</t>
        </is>
      </c>
      <c r="C57" t="n">
        <v>9</v>
      </c>
      <c r="X57" s="98" t="inlineStr">
        <is>
          <t xml:space="preserve"> </t>
        </is>
      </c>
      <c r="CB57" s="98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9</v>
      </c>
    </row>
    <row r="58">
      <c r="X58" s="98" t="inlineStr">
        <is>
          <t xml:space="preserve"> </t>
        </is>
      </c>
      <c r="CB58" s="98" t="inlineStr">
        <is>
          <t xml:space="preserve"> </t>
        </is>
      </c>
    </row>
    <row r="59">
      <c r="A59" s="10" t="inlineStr">
        <is>
          <t>Anzahl Spieler</t>
        </is>
      </c>
      <c r="B59" s="10" t="inlineStr">
        <is>
          <t xml:space="preserve"> </t>
        </is>
      </c>
      <c r="C59" s="11" t="inlineStr">
        <is>
          <t xml:space="preserve"> </t>
        </is>
      </c>
      <c r="D59" s="10" t="n">
        <v>18</v>
      </c>
      <c r="E59" s="10" t="n">
        <v>19</v>
      </c>
      <c r="F59" s="10" t="n">
        <v>17</v>
      </c>
      <c r="G59" s="10" t="n">
        <v>14</v>
      </c>
      <c r="H59" s="10" t="n">
        <v>15</v>
      </c>
      <c r="I59" s="10" t="n">
        <v>14</v>
      </c>
      <c r="J59" s="10" t="n">
        <v>0</v>
      </c>
      <c r="K59" s="10" t="n">
        <v>6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12</v>
      </c>
      <c r="T59" s="10" t="n">
        <v>0</v>
      </c>
      <c r="U59" s="10" t="n">
        <v>1</v>
      </c>
      <c r="V59" s="10" t="n">
        <v>0</v>
      </c>
      <c r="W59" s="10" t="inlineStr">
        <is>
          <t xml:space="preserve"> </t>
        </is>
      </c>
      <c r="X59" s="47" t="n">
        <v>14</v>
      </c>
      <c r="Y59" s="10" t="n">
        <v>14</v>
      </c>
      <c r="Z59" s="10" t="n">
        <v>14</v>
      </c>
      <c r="AA59" s="10" t="n">
        <v>12</v>
      </c>
      <c r="AB59" s="10" t="n">
        <v>14</v>
      </c>
      <c r="AC59" s="10" t="n">
        <v>0</v>
      </c>
      <c r="AD59" s="10" t="n">
        <v>14</v>
      </c>
      <c r="AE59" s="10" t="n">
        <v>0</v>
      </c>
      <c r="AF59" s="10" t="n">
        <v>0</v>
      </c>
      <c r="AG59" s="10" t="n">
        <v>13</v>
      </c>
      <c r="AH59" s="10" t="n">
        <v>14</v>
      </c>
      <c r="AI59" s="10" t="n">
        <v>0</v>
      </c>
      <c r="AJ59" s="10" t="n">
        <v>14</v>
      </c>
      <c r="AK59" s="10" t="n">
        <v>0</v>
      </c>
      <c r="AL59" s="10" t="n">
        <v>14</v>
      </c>
      <c r="AM59" s="10" t="n">
        <v>14</v>
      </c>
      <c r="AN59" s="10" t="n">
        <v>0</v>
      </c>
      <c r="AO59" s="10" t="n">
        <v>0</v>
      </c>
      <c r="AP59" s="10" t="n">
        <v>0</v>
      </c>
      <c r="AQ59" s="10" t="n">
        <v>13</v>
      </c>
      <c r="AR59" s="10" t="n">
        <v>0</v>
      </c>
      <c r="AS59" s="10" t="n">
        <v>14</v>
      </c>
      <c r="AT59" s="10" t="n">
        <v>0</v>
      </c>
      <c r="AU59" s="10" t="n">
        <v>14</v>
      </c>
      <c r="AV59" s="10" t="n">
        <v>0</v>
      </c>
      <c r="AW59" s="10" t="n">
        <v>10</v>
      </c>
      <c r="AX59" s="10" t="n">
        <v>13</v>
      </c>
      <c r="AY59" s="10" t="n">
        <v>14</v>
      </c>
      <c r="AZ59" s="10" t="n">
        <v>1</v>
      </c>
      <c r="BA59" s="10" t="n">
        <v>13</v>
      </c>
      <c r="BB59" s="10" t="n">
        <v>0</v>
      </c>
      <c r="BC59" s="10" t="n">
        <v>13</v>
      </c>
      <c r="BD59" s="10" t="n">
        <v>0</v>
      </c>
      <c r="BE59" s="10" t="n">
        <v>13</v>
      </c>
      <c r="BF59" s="10" t="n">
        <v>0</v>
      </c>
      <c r="BG59" s="10" t="n">
        <v>14</v>
      </c>
      <c r="BH59" s="10" t="n">
        <v>0</v>
      </c>
      <c r="BI59" s="10" t="n">
        <v>13</v>
      </c>
      <c r="BJ59" s="10" t="n">
        <v>14</v>
      </c>
      <c r="BK59" s="10" t="n">
        <v>0</v>
      </c>
      <c r="BL59" s="10" t="n">
        <v>12</v>
      </c>
      <c r="BM59" s="10" t="n">
        <v>0</v>
      </c>
      <c r="BN59" s="10" t="n">
        <v>13</v>
      </c>
      <c r="BO59" s="10" t="n">
        <v>1</v>
      </c>
      <c r="BP59" s="10" t="n">
        <v>12</v>
      </c>
      <c r="BQ59" s="10" t="n">
        <v>1</v>
      </c>
      <c r="BR59" s="10" t="n">
        <v>12</v>
      </c>
      <c r="BS59" s="10" t="n">
        <v>13</v>
      </c>
      <c r="BT59" s="10" t="n">
        <v>13</v>
      </c>
      <c r="BU59" s="10" t="n">
        <v>0</v>
      </c>
      <c r="BV59" s="10" t="n">
        <v>0</v>
      </c>
      <c r="BW59" s="10" t="n">
        <v>0</v>
      </c>
      <c r="BX59" s="10" t="n">
        <v>0</v>
      </c>
      <c r="BY59" s="10" t="n">
        <v>0</v>
      </c>
      <c r="BZ59" s="10" t="n">
        <v>0</v>
      </c>
      <c r="CA59" s="10" t="n">
        <v>0</v>
      </c>
      <c r="CB59" s="47" t="inlineStr">
        <is>
          <t xml:space="preserve"> </t>
        </is>
      </c>
      <c r="CC59" s="10" t="inlineStr">
        <is>
          <t xml:space="preserve"> </t>
        </is>
      </c>
      <c r="CD59" s="10" t="inlineStr">
        <is>
          <t xml:space="preserve"> </t>
        </is>
      </c>
      <c r="CE59" s="10" t="inlineStr">
        <is>
          <t xml:space="preserve"> </t>
        </is>
      </c>
      <c r="CF59" s="10" t="inlineStr">
        <is>
          <t xml:space="preserve"> </t>
        </is>
      </c>
      <c r="CG59" s="10" t="inlineStr">
        <is>
          <t xml:space="preserve"> </t>
        </is>
      </c>
      <c r="CH59" s="10" t="inlineStr">
        <is>
          <t xml:space="preserve"> </t>
        </is>
      </c>
      <c r="CI59" s="10" t="inlineStr">
        <is>
          <t xml:space="preserve"> </t>
        </is>
      </c>
      <c r="CJ59" s="10" t="inlineStr">
        <is>
          <t xml:space="preserve"> </t>
        </is>
      </c>
      <c r="CK59" s="10" t="inlineStr">
        <is>
          <t xml:space="preserve"> </t>
        </is>
      </c>
      <c r="CL59" s="10" t="inlineStr">
        <is>
          <t xml:space="preserve"> </t>
        </is>
      </c>
    </row>
    <row r="60">
      <c r="A60" s="8" t="inlineStr">
        <is>
          <t>Anzahl Tore</t>
        </is>
      </c>
      <c r="B60" s="8" t="inlineStr">
        <is>
          <t xml:space="preserve"> </t>
        </is>
      </c>
      <c r="C60" s="9" t="inlineStr">
        <is>
          <t xml:space="preserve"> </t>
        </is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21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2</v>
      </c>
      <c r="V60" s="8" t="n">
        <v>0</v>
      </c>
      <c r="W60" s="8" t="inlineStr">
        <is>
          <t xml:space="preserve"> </t>
        </is>
      </c>
      <c r="X60" s="4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  <c r="AR60" s="8" t="n">
        <v>0</v>
      </c>
      <c r="AS60" s="8" t="n">
        <v>0</v>
      </c>
      <c r="AT60" s="8" t="n">
        <v>0</v>
      </c>
      <c r="AU60" s="8" t="n">
        <v>0</v>
      </c>
      <c r="AV60" s="8" t="n">
        <v>0</v>
      </c>
      <c r="AW60" s="8" t="n">
        <v>0</v>
      </c>
      <c r="AX60" s="8" t="n">
        <v>0</v>
      </c>
      <c r="AY60" s="8" t="n">
        <v>0</v>
      </c>
      <c r="AZ60" s="8" t="n">
        <v>0</v>
      </c>
      <c r="BA60" s="8" t="n">
        <v>0</v>
      </c>
      <c r="BB60" s="8" t="n">
        <v>0</v>
      </c>
      <c r="BC60" s="8" t="n">
        <v>0</v>
      </c>
      <c r="BD60" s="8" t="n">
        <v>0</v>
      </c>
      <c r="BE60" s="8" t="n">
        <v>0</v>
      </c>
      <c r="BF60" s="8" t="n">
        <v>0</v>
      </c>
      <c r="BG60" s="8" t="n">
        <v>0</v>
      </c>
      <c r="BH60" s="8" t="n">
        <v>0</v>
      </c>
      <c r="BI60" s="8" t="n">
        <v>0</v>
      </c>
      <c r="BJ60" s="8" t="n">
        <v>0</v>
      </c>
      <c r="BK60" s="8" t="n">
        <v>0</v>
      </c>
      <c r="BL60" s="8" t="n">
        <v>0</v>
      </c>
      <c r="BM60" s="8" t="n">
        <v>0</v>
      </c>
      <c r="BN60" s="8" t="n">
        <v>0</v>
      </c>
      <c r="BO60" s="8" t="n">
        <v>0</v>
      </c>
      <c r="BP60" s="8" t="n">
        <v>0</v>
      </c>
      <c r="BQ60" s="8" t="n">
        <v>0</v>
      </c>
      <c r="BR60" s="8" t="n">
        <v>0</v>
      </c>
      <c r="BS60" s="8" t="n">
        <v>0</v>
      </c>
      <c r="BT60" s="8" t="n">
        <v>46</v>
      </c>
      <c r="BU60" s="8" t="n">
        <v>0</v>
      </c>
      <c r="BV60" s="8" t="n">
        <v>0</v>
      </c>
      <c r="BW60" s="8" t="n">
        <v>0</v>
      </c>
      <c r="BX60" s="8" t="n">
        <v>0</v>
      </c>
      <c r="BY60" s="8" t="n">
        <v>0</v>
      </c>
      <c r="BZ60" s="8" t="n">
        <v>0</v>
      </c>
      <c r="CA60" s="8" t="n">
        <v>0</v>
      </c>
      <c r="CB60" s="48" t="inlineStr">
        <is>
          <t xml:space="preserve"> </t>
        </is>
      </c>
      <c r="CC60" s="8" t="inlineStr">
        <is>
          <t xml:space="preserve"> </t>
        </is>
      </c>
      <c r="CD60" s="8" t="inlineStr">
        <is>
          <t xml:space="preserve"> </t>
        </is>
      </c>
      <c r="CE60" s="8" t="n">
        <v>46</v>
      </c>
      <c r="CF60" s="8" t="n">
        <v>0</v>
      </c>
      <c r="CG60" s="8" t="n">
        <v>46</v>
      </c>
      <c r="CH60" s="8" t="inlineStr">
        <is>
          <t xml:space="preserve"> </t>
        </is>
      </c>
      <c r="CI60" s="8" t="n">
        <v>23</v>
      </c>
      <c r="CJ60" s="8" t="inlineStr">
        <is>
          <t xml:space="preserve"> </t>
        </is>
      </c>
      <c r="CK60" s="8" t="n">
        <v>69</v>
      </c>
      <c r="CL60" s="8" t="inlineStr">
        <is>
          <t xml:space="preserve"> </t>
        </is>
      </c>
    </row>
    <row r="63">
      <c r="A63" t="inlineStr">
        <is>
          <t xml:space="preserve"> </t>
        </is>
      </c>
    </row>
    <row r="64">
      <c r="CD64" s="92" t="inlineStr">
        <is>
          <t xml:space="preserve"> </t>
        </is>
      </c>
    </row>
  </sheetData>
  <mergeCells count="8">
    <mergeCell ref="E1:CL1"/>
    <mergeCell ref="R2:W2"/>
    <mergeCell ref="A2:A4"/>
    <mergeCell ref="C2:C4"/>
    <mergeCell ref="X2:CA2"/>
    <mergeCell ref="D2:Q2"/>
    <mergeCell ref="CB2:CL2"/>
    <mergeCell ref="B2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73"/>
  <sheetViews>
    <sheetView workbookViewId="0">
      <selection activeCell="I16" sqref="I16"/>
    </sheetView>
  </sheetViews>
  <sheetFormatPr baseColWidth="10" defaultColWidth="9.140625" defaultRowHeight="12.75"/>
  <cols>
    <col width="18.5703125" bestFit="1" customWidth="1" style="91" min="1" max="1"/>
  </cols>
  <sheetData>
    <row r="1" ht="35.45" customHeight="1" s="91">
      <c r="E1" s="90" t="inlineStr">
        <is>
          <t>Saison 13/14</t>
        </is>
      </c>
    </row>
    <row r="2">
      <c r="A2" s="93" t="inlineStr">
        <is>
          <t>Spieler</t>
        </is>
      </c>
      <c r="B2" s="93" t="n"/>
      <c r="C2" s="95" t="inlineStr">
        <is>
          <t>Spiele bisher</t>
        </is>
      </c>
      <c r="D2" s="92" t="inlineStr">
        <is>
          <t>Freundschaftsspiele</t>
        </is>
      </c>
      <c r="R2" s="92" t="inlineStr">
        <is>
          <t>Pokalspiele</t>
        </is>
      </c>
      <c r="X2" s="98" t="inlineStr">
        <is>
          <t>Punktspiele</t>
        </is>
      </c>
      <c r="CB2" s="98" t="inlineStr">
        <is>
          <t>Anzahl</t>
        </is>
      </c>
    </row>
    <row r="3">
      <c r="C3" s="96" t="n"/>
      <c r="D3" t="inlineStr">
        <is>
          <t xml:space="preserve"> </t>
        </is>
      </c>
      <c r="F3" t="inlineStr">
        <is>
          <t>I</t>
        </is>
      </c>
      <c r="G3" t="inlineStr">
        <is>
          <t>I</t>
        </is>
      </c>
      <c r="H3" t="inlineStr">
        <is>
          <t>I</t>
        </is>
      </c>
      <c r="I3" t="inlineStr">
        <is>
          <t>I</t>
        </is>
      </c>
      <c r="J3" t="inlineStr">
        <is>
          <t>I</t>
        </is>
      </c>
      <c r="R3" t="inlineStr">
        <is>
          <t>I</t>
        </is>
      </c>
      <c r="S3" t="inlineStr">
        <is>
          <t>I</t>
        </is>
      </c>
      <c r="T3" t="inlineStr">
        <is>
          <t>I</t>
        </is>
      </c>
      <c r="U3" t="inlineStr">
        <is>
          <t>II</t>
        </is>
      </c>
      <c r="V3" t="inlineStr">
        <is>
          <t>II</t>
        </is>
      </c>
      <c r="W3" t="inlineStr">
        <is>
          <t>II</t>
        </is>
      </c>
      <c r="X3" s="98" t="inlineStr">
        <is>
          <t>I</t>
        </is>
      </c>
      <c r="Y3" s="92" t="inlineStr">
        <is>
          <t>I</t>
        </is>
      </c>
      <c r="Z3" t="inlineStr">
        <is>
          <t>I</t>
        </is>
      </c>
      <c r="AA3" t="inlineStr">
        <is>
          <t>I</t>
        </is>
      </c>
      <c r="AB3" t="inlineStr">
        <is>
          <t>I</t>
        </is>
      </c>
      <c r="AC3" s="92" t="inlineStr">
        <is>
          <t>I</t>
        </is>
      </c>
      <c r="AD3" t="inlineStr">
        <is>
          <t>I</t>
        </is>
      </c>
      <c r="AE3" t="inlineStr">
        <is>
          <t>I</t>
        </is>
      </c>
      <c r="AF3" t="inlineStr">
        <is>
          <t>I</t>
        </is>
      </c>
      <c r="AG3" t="inlineStr">
        <is>
          <t>I</t>
        </is>
      </c>
      <c r="AH3" t="inlineStr">
        <is>
          <t>I</t>
        </is>
      </c>
      <c r="AI3" t="inlineStr">
        <is>
          <t>I</t>
        </is>
      </c>
      <c r="AJ3" t="inlineStr">
        <is>
          <t>I</t>
        </is>
      </c>
      <c r="AK3" t="inlineStr">
        <is>
          <t>I</t>
        </is>
      </c>
      <c r="AL3" t="inlineStr">
        <is>
          <t>I</t>
        </is>
      </c>
      <c r="AM3" t="inlineStr">
        <is>
          <t>I</t>
        </is>
      </c>
      <c r="AN3" t="inlineStr">
        <is>
          <t>I</t>
        </is>
      </c>
      <c r="AO3" t="inlineStr">
        <is>
          <t>I</t>
        </is>
      </c>
      <c r="AP3" t="inlineStr">
        <is>
          <t>I</t>
        </is>
      </c>
      <c r="AQ3" s="92" t="inlineStr">
        <is>
          <t>I</t>
        </is>
      </c>
      <c r="AR3" s="92" t="inlineStr">
        <is>
          <t>I</t>
        </is>
      </c>
      <c r="AS3" s="92" t="inlineStr">
        <is>
          <t>I</t>
        </is>
      </c>
      <c r="AT3" s="92" t="inlineStr">
        <is>
          <t>I</t>
        </is>
      </c>
      <c r="AU3" s="92" t="inlineStr">
        <is>
          <t>I</t>
        </is>
      </c>
      <c r="AV3" s="92" t="inlineStr">
        <is>
          <t>I</t>
        </is>
      </c>
      <c r="AW3" s="92" t="inlineStr">
        <is>
          <t>I</t>
        </is>
      </c>
      <c r="AX3" s="92" t="inlineStr">
        <is>
          <t>I</t>
        </is>
      </c>
      <c r="AY3" s="92" t="inlineStr">
        <is>
          <t>I</t>
        </is>
      </c>
      <c r="AZ3" s="92" t="inlineStr">
        <is>
          <t>I</t>
        </is>
      </c>
      <c r="BA3" s="92" t="inlineStr">
        <is>
          <t>I</t>
        </is>
      </c>
      <c r="BB3" s="92" t="n"/>
      <c r="BC3" s="92" t="n"/>
      <c r="BD3" s="92" t="n"/>
      <c r="BE3" s="92" t="inlineStr">
        <is>
          <t>II</t>
        </is>
      </c>
      <c r="BF3" s="92" t="inlineStr">
        <is>
          <t>II</t>
        </is>
      </c>
      <c r="BG3" s="92" t="inlineStr">
        <is>
          <t>II</t>
        </is>
      </c>
      <c r="BH3" s="92" t="inlineStr">
        <is>
          <t>II</t>
        </is>
      </c>
      <c r="BI3" s="92" t="inlineStr">
        <is>
          <t>II</t>
        </is>
      </c>
      <c r="BJ3" s="92" t="inlineStr">
        <is>
          <t>II</t>
        </is>
      </c>
      <c r="BK3" s="92" t="inlineStr">
        <is>
          <t>II</t>
        </is>
      </c>
      <c r="BL3" s="92" t="inlineStr">
        <is>
          <t>II</t>
        </is>
      </c>
      <c r="BM3" s="92" t="inlineStr">
        <is>
          <t>II</t>
        </is>
      </c>
      <c r="BN3" s="92" t="inlineStr">
        <is>
          <t>II</t>
        </is>
      </c>
      <c r="BO3" s="92" t="inlineStr">
        <is>
          <t>II</t>
        </is>
      </c>
      <c r="BP3" s="92" t="inlineStr">
        <is>
          <t>II</t>
        </is>
      </c>
      <c r="BQ3" s="92" t="inlineStr">
        <is>
          <t>II</t>
        </is>
      </c>
      <c r="BR3" s="92" t="inlineStr">
        <is>
          <t>II</t>
        </is>
      </c>
      <c r="BS3" s="92" t="inlineStr">
        <is>
          <t>II</t>
        </is>
      </c>
      <c r="BT3" s="92" t="inlineStr">
        <is>
          <t>II</t>
        </is>
      </c>
      <c r="BU3" s="92" t="inlineStr">
        <is>
          <t>II</t>
        </is>
      </c>
      <c r="BV3" s="92" t="inlineStr">
        <is>
          <t>II</t>
        </is>
      </c>
      <c r="CB3" s="98" t="inlineStr">
        <is>
          <t xml:space="preserve"> </t>
        </is>
      </c>
      <c r="CC3" s="42" t="n"/>
      <c r="CD3" s="42" t="n"/>
      <c r="CE3" s="42" t="n"/>
      <c r="CF3" s="42" t="n"/>
      <c r="CG3" s="42" t="n"/>
      <c r="CH3" s="42" t="n"/>
      <c r="CI3" s="42" t="n"/>
    </row>
    <row r="4" ht="227.45" customHeight="1" s="91">
      <c r="A4" s="94" t="n"/>
      <c r="B4" s="94" t="n"/>
      <c r="C4" s="97" t="n"/>
      <c r="D4" s="43" t="inlineStr">
        <is>
          <t xml:space="preserve"> </t>
        </is>
      </c>
      <c r="E4" s="43" t="inlineStr">
        <is>
          <t xml:space="preserve"> </t>
        </is>
      </c>
      <c r="F4" s="43" t="inlineStr">
        <is>
          <t>28.07.2013 SpVgg Schiltach : SG MaLo I</t>
        </is>
      </c>
      <c r="G4" s="49" t="inlineStr">
        <is>
          <t>03.08.2013 SG MaLo I : SpVgg Oberndorf</t>
        </is>
      </c>
      <c r="H4" s="43" t="inlineStr">
        <is>
          <t>11.08.2013 SG MaLo - FC Schonach</t>
        </is>
      </c>
      <c r="I4" s="43" t="inlineStr">
        <is>
          <t>18.08.2013 SV Niedereschach - SG MaLo</t>
        </is>
      </c>
      <c r="J4" s="43" t="inlineStr">
        <is>
          <t>22.02.2014 Spvgg Stetten-Lackendorf - SG MaLo</t>
        </is>
      </c>
      <c r="L4" s="43" t="inlineStr">
        <is>
          <t xml:space="preserve"> </t>
        </is>
      </c>
      <c r="M4" s="43" t="inlineStr">
        <is>
          <t xml:space="preserve"> </t>
        </is>
      </c>
      <c r="N4" s="43" t="inlineStr">
        <is>
          <t xml:space="preserve"> </t>
        </is>
      </c>
      <c r="O4" s="43" t="inlineStr">
        <is>
          <t xml:space="preserve"> </t>
        </is>
      </c>
      <c r="P4" s="43" t="inlineStr">
        <is>
          <t xml:space="preserve"> </t>
        </is>
      </c>
      <c r="R4" s="43" t="inlineStr">
        <is>
          <t>28.08.2013 Spvgg Oberndorf - SG MaLo</t>
        </is>
      </c>
      <c r="S4" s="43" t="inlineStr">
        <is>
          <t>03.10.2013 SV Herrenzimmern - SG MaLo</t>
        </is>
      </c>
      <c r="T4" s="43" t="inlineStr">
        <is>
          <t>21.04.2014 SG MaLo - SV Irslingen</t>
        </is>
      </c>
      <c r="U4" s="43" t="inlineStr">
        <is>
          <t>28.08.2013 SG MaLo - SV Gosheim</t>
        </is>
      </c>
      <c r="V4" s="43" t="inlineStr">
        <is>
          <t>01.10.2013 FC Dunningen - SG MaLo</t>
        </is>
      </c>
      <c r="W4" s="43" t="inlineStr">
        <is>
          <t>20.03.2014 SG MaLo - SV Wurmlingen</t>
        </is>
      </c>
      <c r="X4" s="44" t="inlineStr">
        <is>
          <t>18.08.2013 Spielfrei</t>
        </is>
      </c>
      <c r="Y4" s="45" t="inlineStr">
        <is>
          <t>21.08.2013 SGMaLo I -  FSV Schwenningen</t>
        </is>
      </c>
      <c r="Z4" s="45" t="inlineStr">
        <is>
          <t>25.08.2013 SV Winzeln SG MaLo</t>
        </is>
      </c>
      <c r="AA4" s="45" t="inlineStr">
        <is>
          <t>01.09.2013 SG MaLa - SV Beffendorf</t>
        </is>
      </c>
      <c r="AB4" s="45" t="inlineStr">
        <is>
          <t>08.09.2013 SV Sulgen - SG MaLo</t>
        </is>
      </c>
      <c r="AC4" s="45" t="inlineStr">
        <is>
          <t>15.09.2013 SG MaLo - FV Aichhalden</t>
        </is>
      </c>
      <c r="AD4" s="45" t="inlineStr">
        <is>
          <t>19.09.2013 FC Dunningen - SG MaLo</t>
        </is>
      </c>
      <c r="AE4" s="45" t="inlineStr">
        <is>
          <t>22.09.2013 SG MaLo - FV08 Rottweil II</t>
        </is>
      </c>
      <c r="AF4" s="45" t="inlineStr">
        <is>
          <t>28.09.2013 FV Diestingen - SG MaLo</t>
        </is>
      </c>
      <c r="AG4" s="45" t="inlineStr">
        <is>
          <t>06.10.2013 SG MaLo - SV Herrenzimmern</t>
        </is>
      </c>
      <c r="AH4" s="45" t="inlineStr">
        <is>
          <t>13.10.2013 FSV Zepfenhahn - SG MaLo</t>
        </is>
      </c>
      <c r="AI4" s="45" t="inlineStr">
        <is>
          <t>01.11.2013 SG MaLo - FV Kickers Lauterbach</t>
        </is>
      </c>
      <c r="AJ4" s="45" t="inlineStr">
        <is>
          <t>03.04.2014 SV Horgen - SG MaLo</t>
        </is>
      </c>
      <c r="AK4" s="45" t="inlineStr">
        <is>
          <t>03.11.2013 SG MaLo - SV Zimmern</t>
        </is>
      </c>
      <c r="AL4" s="45" t="inlineStr">
        <is>
          <t>16.03.2014 SV Rötenberg - SG MaLo</t>
        </is>
      </c>
      <c r="AM4" s="45" t="inlineStr">
        <is>
          <t>17.11.2013 Spielfrei</t>
        </is>
      </c>
      <c r="AN4" s="45" t="inlineStr">
        <is>
          <t>23.11.2013FSV Schwenningen - SG MaLo</t>
        </is>
      </c>
      <c r="AO4" s="50" t="inlineStr">
        <is>
          <t>23.03.2014 SG MaLo - SV Winzeln</t>
        </is>
      </c>
      <c r="AP4" s="45" t="inlineStr">
        <is>
          <t>30.03.2014 SV Beffendorf - SG MaLo</t>
        </is>
      </c>
      <c r="AQ4" s="45" t="inlineStr">
        <is>
          <t>06.04.2014 SG MaLo - SV Sulgen</t>
        </is>
      </c>
      <c r="AR4" s="45" t="inlineStr">
        <is>
          <t>13.04.2014 FV Aichhalden - SG MaLo</t>
        </is>
      </c>
      <c r="AS4" s="45" t="inlineStr">
        <is>
          <t>19.04.2014 SG MaLo - FC Dunningen</t>
        </is>
      </c>
      <c r="AT4" s="45" t="inlineStr">
        <is>
          <t>27.04.2014 FV08 Rottweil II - SG MaLo</t>
        </is>
      </c>
      <c r="AU4" s="45" t="inlineStr">
        <is>
          <t>30.04.2014 SG MaLo - FC Dietingen</t>
        </is>
      </c>
      <c r="AV4" s="45" t="inlineStr">
        <is>
          <t>04.05.2014 SV Herrenzimmern - SG MaLo</t>
        </is>
      </c>
      <c r="AW4" s="45" t="inlineStr">
        <is>
          <t>11.05.2014 SG MaLo - FSV Zepfenhan</t>
        </is>
      </c>
      <c r="AX4" s="45" t="inlineStr">
        <is>
          <t>18.05.2014 FV Kickers Lauterbach - SG MaLo</t>
        </is>
      </c>
      <c r="AY4" s="45" t="inlineStr">
        <is>
          <t>25.05.2014 SG MaLo - SV Horgen</t>
        </is>
      </c>
      <c r="AZ4" s="45" t="inlineStr">
        <is>
          <t>01.06.2014 SV Zimmern - SG MaLo</t>
        </is>
      </c>
      <c r="BA4" s="45" t="inlineStr">
        <is>
          <t>07.06.2014 SG MaLo - SV Rötenberg</t>
        </is>
      </c>
      <c r="BB4" s="45" t="n"/>
      <c r="BC4" s="45" t="n"/>
      <c r="BD4" s="45" t="n"/>
      <c r="BE4" s="45" t="inlineStr">
        <is>
          <t xml:space="preserve">15.09.2013 SG MaLo - SV Winzeln </t>
        </is>
      </c>
      <c r="BF4" s="45" t="inlineStr">
        <is>
          <t>22.09.2013 Spvgg. Stetten-Lackendorf - SG MaLo</t>
        </is>
      </c>
      <c r="BG4" s="45" t="inlineStr">
        <is>
          <t>28.09.2013 SV Seedorf III - SG MaLo</t>
        </is>
      </c>
      <c r="BH4" s="45" t="inlineStr">
        <is>
          <t>06.10.2013 SG MaLo - FV Aichhalden</t>
        </is>
      </c>
      <c r="BI4" s="45" t="inlineStr">
        <is>
          <t>13.10.2013 FC Dunningen - SG MaLo</t>
        </is>
      </c>
      <c r="BJ4" s="45" t="inlineStr">
        <is>
          <t>17.04.2014 SG MaLo - AV Herrenzimmern</t>
        </is>
      </c>
      <c r="BK4" s="45" t="inlineStr">
        <is>
          <t>17.11.2013 FV Kickers Lauterbach - SG MaLo</t>
        </is>
      </c>
      <c r="BL4" s="45" t="inlineStr">
        <is>
          <t>19.04.2014 SG MaLo - SV Horgen</t>
        </is>
      </c>
      <c r="BM4" s="45" t="inlineStr">
        <is>
          <t>30.03.2014 SV Rötenberg - SG MaLo</t>
        </is>
      </c>
      <c r="BN4" s="45" t="inlineStr">
        <is>
          <t>06.04.2014 SV Winzeln - SG MaLo</t>
        </is>
      </c>
      <c r="BO4" s="45" t="inlineStr">
        <is>
          <t>13.04.2014 SG MaLo - Spvgg Stetten Lackendorf</t>
        </is>
      </c>
      <c r="BP4" s="45" t="inlineStr">
        <is>
          <t>26.04.2014 SG MaLo - SV Seedorf</t>
        </is>
      </c>
      <c r="BQ4" s="45" t="inlineStr">
        <is>
          <t>04.05.2014 FV Aichhalden - SG MaLo</t>
        </is>
      </c>
      <c r="BR4" s="45" t="inlineStr">
        <is>
          <t>11.05.2014 SG MaLo - FC Dunningen</t>
        </is>
      </c>
      <c r="BS4" s="45" t="inlineStr">
        <is>
          <t>18.05.2014 SV Herrenzimmern SG MaLo</t>
        </is>
      </c>
      <c r="BT4" s="45" t="inlineStr">
        <is>
          <t>25.05.2014 SG MaLo - FV Kickers Lauterbach</t>
        </is>
      </c>
      <c r="BU4" s="45" t="inlineStr">
        <is>
          <t>01.06.2014 SV Horgen - SG MaLo</t>
        </is>
      </c>
      <c r="BV4" s="45" t="inlineStr">
        <is>
          <t>07.06.2014 SG MaLo - SV Rötenberg</t>
        </is>
      </c>
      <c r="BW4" s="42" t="n"/>
      <c r="BX4" s="42" t="n"/>
      <c r="BY4" s="42" t="n"/>
      <c r="BZ4" s="42" t="n"/>
      <c r="CA4" s="43" t="inlineStr">
        <is>
          <t xml:space="preserve"> </t>
        </is>
      </c>
      <c r="CB4" s="46" t="inlineStr">
        <is>
          <t>Punktspiele I</t>
        </is>
      </c>
      <c r="CC4" s="43" t="inlineStr">
        <is>
          <t>Punktspiele II</t>
        </is>
      </c>
      <c r="CD4" s="43" t="inlineStr">
        <is>
          <t>Punktspiele I+II</t>
        </is>
      </c>
      <c r="CE4" s="43" t="inlineStr">
        <is>
          <t>Tore Punktspiele I</t>
        </is>
      </c>
      <c r="CF4" s="43" t="inlineStr">
        <is>
          <t>Tore Punktspiele II</t>
        </is>
      </c>
      <c r="CG4" s="43" t="inlineStr">
        <is>
          <t>Tore Punktspiele I+II</t>
        </is>
      </c>
      <c r="CH4" s="43" t="inlineStr">
        <is>
          <t>Freundschaftssp.</t>
        </is>
      </c>
      <c r="CI4" s="43" t="inlineStr">
        <is>
          <t>Tore Freundschaftssp.</t>
        </is>
      </c>
      <c r="CJ4" s="43" t="inlineStr">
        <is>
          <t>Spiele</t>
        </is>
      </c>
      <c r="CK4" s="43" t="inlineStr">
        <is>
          <t>Tore</t>
        </is>
      </c>
      <c r="CL4" s="43" t="inlineStr">
        <is>
          <t>Spiele gesamt</t>
        </is>
      </c>
    </row>
    <row r="5">
      <c r="A5" t="inlineStr">
        <is>
          <t>Aichele Thomas</t>
        </is>
      </c>
      <c r="B5" t="inlineStr">
        <is>
          <t>L</t>
        </is>
      </c>
      <c r="C5" t="n">
        <v>131</v>
      </c>
      <c r="X5" s="98" t="inlineStr">
        <is>
          <t xml:space="preserve"> </t>
        </is>
      </c>
      <c r="CB5" s="98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131</v>
      </c>
    </row>
    <row r="6">
      <c r="A6" t="inlineStr">
        <is>
          <t>Auber Armin</t>
        </is>
      </c>
      <c r="H6" t="n">
        <v>0</v>
      </c>
      <c r="U6" t="n">
        <v>0</v>
      </c>
      <c r="X6" s="98" t="inlineStr">
        <is>
          <t xml:space="preserve"> </t>
        </is>
      </c>
      <c r="BE6" t="n">
        <v>0</v>
      </c>
      <c r="BF6" t="n">
        <v>0</v>
      </c>
      <c r="BG6" t="n">
        <v>0</v>
      </c>
      <c r="BL6" t="n">
        <v>1</v>
      </c>
      <c r="BN6" t="n">
        <v>0</v>
      </c>
      <c r="BO6" t="n">
        <v>0</v>
      </c>
      <c r="CB6" s="98" t="n">
        <v>0</v>
      </c>
      <c r="CC6" t="n">
        <v>6</v>
      </c>
      <c r="CD6" t="n">
        <v>6</v>
      </c>
      <c r="CE6" t="n">
        <v>0</v>
      </c>
      <c r="CF6" t="n">
        <v>1</v>
      </c>
      <c r="CG6" t="n">
        <v>1</v>
      </c>
      <c r="CH6" t="n">
        <v>2</v>
      </c>
      <c r="CI6" t="n">
        <v>0</v>
      </c>
      <c r="CJ6" t="n">
        <v>8</v>
      </c>
      <c r="CK6" t="n">
        <v>1</v>
      </c>
      <c r="CL6" t="n">
        <v>8</v>
      </c>
    </row>
    <row r="7">
      <c r="A7" t="inlineStr">
        <is>
          <t>Auber Axel</t>
        </is>
      </c>
      <c r="B7" t="inlineStr">
        <is>
          <t>M</t>
        </is>
      </c>
      <c r="C7" t="n">
        <v>379</v>
      </c>
      <c r="X7" s="98" t="inlineStr">
        <is>
          <t xml:space="preserve"> </t>
        </is>
      </c>
      <c r="CB7" s="98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379</v>
      </c>
    </row>
    <row r="8">
      <c r="A8" t="inlineStr">
        <is>
          <t>Augstein M</t>
        </is>
      </c>
      <c r="B8" t="inlineStr">
        <is>
          <t>L</t>
        </is>
      </c>
      <c r="C8" t="n">
        <v>75</v>
      </c>
      <c r="U8" t="n">
        <v>0</v>
      </c>
      <c r="X8" s="98" t="inlineStr">
        <is>
          <t xml:space="preserve"> </t>
        </is>
      </c>
      <c r="BE8" t="n">
        <v>0</v>
      </c>
      <c r="BF8" t="n">
        <v>0</v>
      </c>
      <c r="CB8" s="98" t="n">
        <v>0</v>
      </c>
      <c r="CC8" t="n">
        <v>2</v>
      </c>
      <c r="CD8" t="n">
        <v>2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3</v>
      </c>
      <c r="CK8" t="n">
        <v>0</v>
      </c>
      <c r="CL8" t="n">
        <v>78</v>
      </c>
    </row>
    <row r="9">
      <c r="A9" t="inlineStr">
        <is>
          <t>Bannert Dirk</t>
        </is>
      </c>
      <c r="B9" t="inlineStr">
        <is>
          <t>L</t>
        </is>
      </c>
      <c r="C9" t="n">
        <v>60</v>
      </c>
      <c r="X9" s="98" t="inlineStr">
        <is>
          <t xml:space="preserve"> </t>
        </is>
      </c>
      <c r="CB9" s="98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60</v>
      </c>
    </row>
    <row r="10">
      <c r="A10" t="inlineStr">
        <is>
          <t>Bekir Kilic</t>
        </is>
      </c>
      <c r="B10" t="inlineStr">
        <is>
          <t>L</t>
        </is>
      </c>
      <c r="C10" t="n">
        <v>63</v>
      </c>
      <c r="X10" s="98" t="inlineStr">
        <is>
          <t xml:space="preserve"> </t>
        </is>
      </c>
      <c r="BL10" t="n">
        <v>0</v>
      </c>
      <c r="CB10" s="98" t="n">
        <v>0</v>
      </c>
      <c r="CC10" t="n">
        <v>1</v>
      </c>
      <c r="CD10" t="n">
        <v>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</v>
      </c>
      <c r="CK10" t="n">
        <v>0</v>
      </c>
      <c r="CL10" t="n">
        <v>64</v>
      </c>
    </row>
    <row r="11">
      <c r="A11" t="inlineStr">
        <is>
          <t>Benner, Florian</t>
        </is>
      </c>
      <c r="F11" t="n">
        <v>0</v>
      </c>
      <c r="H11" t="n">
        <v>0</v>
      </c>
      <c r="J11" t="n">
        <v>0</v>
      </c>
      <c r="R11" t="n">
        <v>0</v>
      </c>
      <c r="S11" t="n">
        <v>0</v>
      </c>
      <c r="T11" t="n">
        <v>0</v>
      </c>
      <c r="X11" s="98" t="inlineStr">
        <is>
          <t xml:space="preserve"> </t>
        </is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N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CB11" s="98" t="n">
        <v>21</v>
      </c>
      <c r="CC11" t="n">
        <v>0</v>
      </c>
      <c r="CD11" t="n">
        <v>21</v>
      </c>
      <c r="CE11" t="n">
        <v>0</v>
      </c>
      <c r="CF11" t="n">
        <v>0</v>
      </c>
      <c r="CG11" t="n">
        <v>0</v>
      </c>
      <c r="CH11" t="n">
        <v>6</v>
      </c>
      <c r="CI11" t="n">
        <v>0</v>
      </c>
      <c r="CJ11" t="n">
        <v>27</v>
      </c>
      <c r="CK11" t="n">
        <v>0</v>
      </c>
      <c r="CL11" t="n">
        <v>27</v>
      </c>
    </row>
    <row r="12">
      <c r="A12" t="inlineStr">
        <is>
          <t>Binnig Andre</t>
        </is>
      </c>
      <c r="B12" t="inlineStr">
        <is>
          <t>L</t>
        </is>
      </c>
      <c r="C12" t="n">
        <v>41</v>
      </c>
      <c r="F12" t="n">
        <v>0</v>
      </c>
      <c r="I12" t="n">
        <v>0</v>
      </c>
      <c r="R12" t="n">
        <v>0</v>
      </c>
      <c r="S12" t="n">
        <v>0</v>
      </c>
      <c r="T12" t="n">
        <v>0</v>
      </c>
      <c r="X12" s="98" t="inlineStr">
        <is>
          <t xml:space="preserve"> </t>
        </is>
      </c>
      <c r="AA12" t="n">
        <v>0</v>
      </c>
      <c r="AI12" t="n">
        <v>0</v>
      </c>
      <c r="AJ12" t="n">
        <v>0</v>
      </c>
      <c r="AK12" t="n">
        <v>0</v>
      </c>
      <c r="AL12" t="n">
        <v>0</v>
      </c>
      <c r="AN12" t="n">
        <v>0</v>
      </c>
      <c r="AP12" t="n">
        <v>0</v>
      </c>
      <c r="AQ12" t="n">
        <v>0</v>
      </c>
      <c r="AR12" t="n">
        <v>0</v>
      </c>
      <c r="BG12" t="n">
        <v>0</v>
      </c>
      <c r="BH12" t="n">
        <v>0</v>
      </c>
      <c r="BI12" t="n">
        <v>0</v>
      </c>
      <c r="BQ12" t="n">
        <v>0</v>
      </c>
      <c r="CB12" s="98" t="n">
        <v>9</v>
      </c>
      <c r="CC12" t="n">
        <v>4</v>
      </c>
      <c r="CD12" t="n">
        <v>13</v>
      </c>
      <c r="CE12" t="n">
        <v>0</v>
      </c>
      <c r="CF12" t="n">
        <v>0</v>
      </c>
      <c r="CG12" t="n">
        <v>0</v>
      </c>
      <c r="CH12" t="n">
        <v>5</v>
      </c>
      <c r="CI12" t="n">
        <v>0</v>
      </c>
      <c r="CJ12" t="n">
        <v>18</v>
      </c>
      <c r="CK12" t="n">
        <v>0</v>
      </c>
      <c r="CL12" t="n">
        <v>59</v>
      </c>
    </row>
    <row r="13">
      <c r="A13" t="inlineStr">
        <is>
          <t>Bosch M.</t>
        </is>
      </c>
      <c r="B13" t="inlineStr">
        <is>
          <t>L</t>
        </is>
      </c>
      <c r="C13" t="n">
        <v>151</v>
      </c>
      <c r="F13" t="n">
        <v>0</v>
      </c>
      <c r="H13" t="n">
        <v>0</v>
      </c>
      <c r="I13" t="n">
        <v>0</v>
      </c>
      <c r="J13" t="n">
        <v>1</v>
      </c>
      <c r="R13" t="n">
        <v>1</v>
      </c>
      <c r="T13" t="n">
        <v>1</v>
      </c>
      <c r="V13" t="n">
        <v>0</v>
      </c>
      <c r="W13" t="n">
        <v>0</v>
      </c>
      <c r="X13" s="98" t="inlineStr">
        <is>
          <t xml:space="preserve"> </t>
        </is>
      </c>
      <c r="Y13" t="n">
        <v>0</v>
      </c>
      <c r="Z13" t="n">
        <v>0</v>
      </c>
      <c r="AA13" t="n">
        <v>0</v>
      </c>
      <c r="AD13" t="n">
        <v>0</v>
      </c>
      <c r="AF13" t="n">
        <v>0</v>
      </c>
      <c r="AH13" t="n">
        <v>0</v>
      </c>
      <c r="AI13" t="n">
        <v>0</v>
      </c>
      <c r="AJ13" t="n">
        <v>0</v>
      </c>
      <c r="AK13" t="n">
        <v>0</v>
      </c>
      <c r="AN13" t="n">
        <v>0</v>
      </c>
      <c r="AP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BE13" t="n">
        <v>0</v>
      </c>
      <c r="BF13" t="n">
        <v>0</v>
      </c>
      <c r="BH13" t="n">
        <v>2</v>
      </c>
      <c r="CB13" s="98" t="n">
        <v>16</v>
      </c>
      <c r="CC13" t="n">
        <v>3</v>
      </c>
      <c r="CD13" t="n">
        <v>19</v>
      </c>
      <c r="CE13" t="n">
        <v>0</v>
      </c>
      <c r="CF13" t="n">
        <v>2</v>
      </c>
      <c r="CG13" t="n">
        <v>2</v>
      </c>
      <c r="CH13" t="n">
        <v>8</v>
      </c>
      <c r="CI13" t="n">
        <v>3</v>
      </c>
      <c r="CJ13" t="n">
        <v>27</v>
      </c>
      <c r="CK13" t="n">
        <v>5</v>
      </c>
      <c r="CL13" t="n">
        <v>178</v>
      </c>
    </row>
    <row r="14">
      <c r="A14" t="inlineStr">
        <is>
          <t>Broghammer Michael</t>
        </is>
      </c>
      <c r="B14" t="inlineStr">
        <is>
          <t>M</t>
        </is>
      </c>
      <c r="C14" t="n">
        <v>10</v>
      </c>
      <c r="H14" t="n">
        <v>0</v>
      </c>
      <c r="X14" s="98" t="inlineStr">
        <is>
          <t xml:space="preserve"> </t>
        </is>
      </c>
      <c r="BE14" t="n">
        <v>0</v>
      </c>
      <c r="BG14" t="n">
        <v>0</v>
      </c>
      <c r="CB14" s="98" t="n">
        <v>0</v>
      </c>
      <c r="CC14" t="n">
        <v>2</v>
      </c>
      <c r="CD14" t="n">
        <v>2</v>
      </c>
      <c r="CE14" t="n">
        <v>0</v>
      </c>
      <c r="CF14" t="n">
        <v>0</v>
      </c>
      <c r="CG14" t="n">
        <v>0</v>
      </c>
      <c r="CH14" t="n">
        <v>1</v>
      </c>
      <c r="CI14" t="n">
        <v>0</v>
      </c>
      <c r="CJ14" t="n">
        <v>3</v>
      </c>
      <c r="CK14" t="n">
        <v>0</v>
      </c>
      <c r="CL14" t="n">
        <v>13</v>
      </c>
    </row>
    <row r="15">
      <c r="A15" t="inlineStr">
        <is>
          <t>Coraci Davide</t>
        </is>
      </c>
      <c r="U15" t="n">
        <v>0</v>
      </c>
      <c r="V15" t="n">
        <v>0</v>
      </c>
      <c r="W15" t="n">
        <v>0</v>
      </c>
      <c r="X15" s="98" t="inlineStr">
        <is>
          <t xml:space="preserve"> </t>
        </is>
      </c>
      <c r="BE15" t="n">
        <v>0</v>
      </c>
      <c r="BF15" t="n">
        <v>0</v>
      </c>
      <c r="BG15" t="n">
        <v>0</v>
      </c>
      <c r="BI15" t="n">
        <v>0</v>
      </c>
      <c r="BJ15" t="n">
        <v>0</v>
      </c>
      <c r="BL15" t="n">
        <v>0</v>
      </c>
      <c r="BM15" t="n">
        <v>0</v>
      </c>
      <c r="BO15" t="n">
        <v>0</v>
      </c>
      <c r="BP15" t="n">
        <v>0</v>
      </c>
      <c r="BQ15" t="n">
        <v>0</v>
      </c>
      <c r="CB15" s="98" t="n">
        <v>0</v>
      </c>
      <c r="CC15" t="n">
        <v>10</v>
      </c>
      <c r="CD15" t="n">
        <v>10</v>
      </c>
      <c r="CE15" t="n">
        <v>0</v>
      </c>
      <c r="CF15" t="n">
        <v>0</v>
      </c>
      <c r="CG15" t="n">
        <v>0</v>
      </c>
      <c r="CH15" t="n">
        <v>3</v>
      </c>
      <c r="CI15" t="n">
        <v>0</v>
      </c>
      <c r="CJ15" t="n">
        <v>13</v>
      </c>
      <c r="CK15" t="n">
        <v>0</v>
      </c>
      <c r="CL15" t="n">
        <v>13</v>
      </c>
    </row>
    <row r="16">
      <c r="A16" t="inlineStr">
        <is>
          <t>Czerny A</t>
        </is>
      </c>
      <c r="B16" t="inlineStr">
        <is>
          <t>M</t>
        </is>
      </c>
      <c r="C16" t="n">
        <v>206</v>
      </c>
      <c r="U16" t="n">
        <v>0</v>
      </c>
      <c r="W16" t="n">
        <v>0</v>
      </c>
      <c r="X16" s="98" t="inlineStr">
        <is>
          <t xml:space="preserve"> </t>
        </is>
      </c>
      <c r="BE16" t="n">
        <v>0</v>
      </c>
      <c r="BF16" t="n">
        <v>0</v>
      </c>
      <c r="BH16" t="n">
        <v>0</v>
      </c>
      <c r="BJ16" t="n">
        <v>0</v>
      </c>
      <c r="BK16" t="n">
        <v>0</v>
      </c>
      <c r="BM16" t="n">
        <v>0</v>
      </c>
      <c r="BO16" t="n">
        <v>0</v>
      </c>
      <c r="BP16" t="n">
        <v>0</v>
      </c>
      <c r="CB16" s="98" t="n">
        <v>0</v>
      </c>
      <c r="CC16" t="n">
        <v>8</v>
      </c>
      <c r="CD16" t="n">
        <v>8</v>
      </c>
      <c r="CE16" t="n">
        <v>0</v>
      </c>
      <c r="CF16" t="n">
        <v>0</v>
      </c>
      <c r="CG16" t="n">
        <v>0</v>
      </c>
      <c r="CH16" t="n">
        <v>2</v>
      </c>
      <c r="CI16" t="n">
        <v>0</v>
      </c>
      <c r="CJ16" t="n">
        <v>10</v>
      </c>
      <c r="CK16" t="n">
        <v>0</v>
      </c>
      <c r="CL16" t="n">
        <v>216</v>
      </c>
    </row>
    <row r="17">
      <c r="A17" t="inlineStr">
        <is>
          <t>Dereck Christian</t>
        </is>
      </c>
      <c r="S17" t="n">
        <v>0</v>
      </c>
      <c r="W17" t="n">
        <v>0</v>
      </c>
      <c r="X17" s="98" t="inlineStr">
        <is>
          <t xml:space="preserve"> </t>
        </is>
      </c>
      <c r="AH17" t="n">
        <v>0</v>
      </c>
      <c r="AI17" t="n">
        <v>0</v>
      </c>
      <c r="AK17" t="n">
        <v>0</v>
      </c>
      <c r="AN17" t="n">
        <v>0</v>
      </c>
      <c r="BE17" t="n">
        <v>0</v>
      </c>
      <c r="BF17" t="n">
        <v>0</v>
      </c>
      <c r="BG17" t="n">
        <v>0</v>
      </c>
      <c r="BH17" t="n">
        <v>0</v>
      </c>
      <c r="BJ17" t="n">
        <v>0</v>
      </c>
      <c r="BK17" t="n">
        <v>0</v>
      </c>
      <c r="BM17" t="n">
        <v>0</v>
      </c>
      <c r="BN17" t="n">
        <v>0</v>
      </c>
      <c r="BO17" t="n">
        <v>0</v>
      </c>
      <c r="BQ17" t="n">
        <v>0</v>
      </c>
      <c r="CB17" s="98" t="n">
        <v>4</v>
      </c>
      <c r="CC17" t="n">
        <v>10</v>
      </c>
      <c r="CD17" t="n">
        <v>14</v>
      </c>
      <c r="CE17" t="n">
        <v>0</v>
      </c>
      <c r="CF17" t="n">
        <v>0</v>
      </c>
      <c r="CG17" t="n">
        <v>0</v>
      </c>
      <c r="CH17" t="n">
        <v>2</v>
      </c>
      <c r="CI17" t="n">
        <v>0</v>
      </c>
      <c r="CJ17" t="n">
        <v>16</v>
      </c>
      <c r="CK17" t="n">
        <v>0</v>
      </c>
      <c r="CL17" t="n">
        <v>16</v>
      </c>
    </row>
    <row r="18">
      <c r="A18" t="inlineStr">
        <is>
          <t>Dold Markus</t>
        </is>
      </c>
      <c r="B18" t="inlineStr">
        <is>
          <t>M</t>
        </is>
      </c>
      <c r="C18" t="n">
        <v>21</v>
      </c>
      <c r="J18" t="n">
        <v>0</v>
      </c>
      <c r="R18" t="n">
        <v>0</v>
      </c>
      <c r="T18" t="n">
        <v>0</v>
      </c>
      <c r="V18" t="n">
        <v>0</v>
      </c>
      <c r="X18" s="98" t="inlineStr">
        <is>
          <t xml:space="preserve"> </t>
        </is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N18" t="n">
        <v>1</v>
      </c>
      <c r="AP18" t="n">
        <v>0</v>
      </c>
      <c r="AQ18" t="n">
        <v>1</v>
      </c>
      <c r="AR18" t="n">
        <v>0</v>
      </c>
      <c r="AS18" t="n">
        <v>0</v>
      </c>
      <c r="AU18" t="n">
        <v>0</v>
      </c>
      <c r="AV18" t="n">
        <v>0</v>
      </c>
      <c r="CB18" s="98" t="n">
        <v>20</v>
      </c>
      <c r="CC18" t="n">
        <v>0</v>
      </c>
      <c r="CD18" t="n">
        <v>20</v>
      </c>
      <c r="CE18" t="n">
        <v>3</v>
      </c>
      <c r="CF18" t="n">
        <v>0</v>
      </c>
      <c r="CG18" t="n">
        <v>3</v>
      </c>
      <c r="CH18" t="n">
        <v>4</v>
      </c>
      <c r="CI18" t="n">
        <v>0</v>
      </c>
      <c r="CJ18" t="n">
        <v>24</v>
      </c>
      <c r="CK18" t="n">
        <v>3</v>
      </c>
      <c r="CL18" t="n">
        <v>45</v>
      </c>
    </row>
    <row r="19">
      <c r="A19" t="inlineStr">
        <is>
          <t>Ebert D.</t>
        </is>
      </c>
      <c r="B19" t="inlineStr">
        <is>
          <t>M</t>
        </is>
      </c>
      <c r="C19" t="n">
        <v>373</v>
      </c>
      <c r="H19" t="n">
        <v>0</v>
      </c>
      <c r="X19" s="98" t="inlineStr">
        <is>
          <t xml:space="preserve"> </t>
        </is>
      </c>
      <c r="BG19" t="n">
        <v>0</v>
      </c>
      <c r="BI19" t="n">
        <v>0</v>
      </c>
      <c r="BL19" t="n">
        <v>0</v>
      </c>
      <c r="BN19" t="n">
        <v>0</v>
      </c>
      <c r="CB19" s="98" t="n">
        <v>0</v>
      </c>
      <c r="CC19" t="n">
        <v>4</v>
      </c>
      <c r="CD19" t="n">
        <v>4</v>
      </c>
      <c r="CE19" t="n">
        <v>0</v>
      </c>
      <c r="CF19" t="n">
        <v>0</v>
      </c>
      <c r="CG19" t="n">
        <v>0</v>
      </c>
      <c r="CH19" t="n">
        <v>1</v>
      </c>
      <c r="CI19" t="n">
        <v>0</v>
      </c>
      <c r="CJ19" t="n">
        <v>5</v>
      </c>
      <c r="CK19" t="n">
        <v>0</v>
      </c>
      <c r="CL19" t="n">
        <v>378</v>
      </c>
    </row>
    <row r="20">
      <c r="A20" t="inlineStr">
        <is>
          <t>Ebert M.</t>
        </is>
      </c>
      <c r="B20" t="inlineStr">
        <is>
          <t>M</t>
        </is>
      </c>
      <c r="C20" t="n">
        <v>164</v>
      </c>
      <c r="H20" t="n">
        <v>0</v>
      </c>
      <c r="I20" t="n">
        <v>0</v>
      </c>
      <c r="S20" t="n">
        <v>0</v>
      </c>
      <c r="T20" t="n">
        <v>0</v>
      </c>
      <c r="X20" s="98" t="inlineStr">
        <is>
          <t xml:space="preserve"> </t>
        </is>
      </c>
      <c r="Y20" t="n">
        <v>0</v>
      </c>
      <c r="AC20" t="n">
        <v>0</v>
      </c>
      <c r="AD20" t="n">
        <v>0</v>
      </c>
      <c r="AF20" t="n">
        <v>0</v>
      </c>
      <c r="AG20" t="n">
        <v>0</v>
      </c>
      <c r="AI20" t="n">
        <v>1</v>
      </c>
      <c r="AJ20" t="n">
        <v>0</v>
      </c>
      <c r="AL20" t="n">
        <v>0</v>
      </c>
      <c r="AN20" t="n">
        <v>0</v>
      </c>
      <c r="AP20" t="n">
        <v>0</v>
      </c>
      <c r="AQ20" t="n">
        <v>0</v>
      </c>
      <c r="AS20" t="n">
        <v>0</v>
      </c>
      <c r="AT20" t="n">
        <v>0</v>
      </c>
      <c r="AU20" t="n">
        <v>0</v>
      </c>
      <c r="AV20" t="n">
        <v>0</v>
      </c>
      <c r="CB20" s="98" t="n">
        <v>15</v>
      </c>
      <c r="CC20" t="n">
        <v>0</v>
      </c>
      <c r="CD20" t="n">
        <v>15</v>
      </c>
      <c r="CE20" t="n">
        <v>1</v>
      </c>
      <c r="CF20" t="n">
        <v>0</v>
      </c>
      <c r="CG20" t="n">
        <v>1</v>
      </c>
      <c r="CH20" t="n">
        <v>4</v>
      </c>
      <c r="CI20" t="n">
        <v>0</v>
      </c>
      <c r="CJ20" t="n">
        <v>19</v>
      </c>
      <c r="CK20" t="n">
        <v>1</v>
      </c>
      <c r="CL20" t="n">
        <v>183</v>
      </c>
    </row>
    <row r="21">
      <c r="A21" t="inlineStr">
        <is>
          <t>Engesser M.</t>
        </is>
      </c>
      <c r="B21" t="inlineStr">
        <is>
          <t>M</t>
        </is>
      </c>
      <c r="C21" t="n">
        <v>167</v>
      </c>
      <c r="X21" s="98" t="inlineStr">
        <is>
          <t xml:space="preserve"> </t>
        </is>
      </c>
      <c r="CB21" s="98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167</v>
      </c>
    </row>
    <row r="22">
      <c r="A22" t="inlineStr">
        <is>
          <t>Ettwein Kevin</t>
        </is>
      </c>
      <c r="V22" t="n">
        <v>0</v>
      </c>
      <c r="X22" s="98" t="inlineStr">
        <is>
          <t xml:space="preserve"> </t>
        </is>
      </c>
      <c r="BE22" t="n">
        <v>0</v>
      </c>
      <c r="BH22" t="n">
        <v>0</v>
      </c>
      <c r="BI22" t="n">
        <v>0</v>
      </c>
      <c r="BK22" t="n">
        <v>0</v>
      </c>
      <c r="CB22" s="98" t="n">
        <v>0</v>
      </c>
      <c r="CC22" t="n">
        <v>4</v>
      </c>
      <c r="CD22" t="n">
        <v>4</v>
      </c>
      <c r="CE22" t="n">
        <v>0</v>
      </c>
      <c r="CF22" t="n">
        <v>0</v>
      </c>
      <c r="CG22" t="n">
        <v>0</v>
      </c>
      <c r="CH22" t="n">
        <v>1</v>
      </c>
      <c r="CI22" t="n">
        <v>0</v>
      </c>
      <c r="CJ22" t="n">
        <v>5</v>
      </c>
      <c r="CK22" t="n">
        <v>0</v>
      </c>
      <c r="CL22" t="n">
        <v>5</v>
      </c>
    </row>
    <row r="23">
      <c r="A23" t="inlineStr">
        <is>
          <t>Ettwein Dennis</t>
        </is>
      </c>
      <c r="H23" t="n">
        <v>0</v>
      </c>
      <c r="J23" t="n">
        <v>0</v>
      </c>
      <c r="S23" t="n">
        <v>0</v>
      </c>
      <c r="U23" t="n">
        <v>0</v>
      </c>
      <c r="V23" t="n">
        <v>0</v>
      </c>
      <c r="W23" t="n">
        <v>0</v>
      </c>
      <c r="X23" s="98" t="inlineStr">
        <is>
          <t xml:space="preserve"> </t>
        </is>
      </c>
      <c r="BE23" t="n">
        <v>0</v>
      </c>
      <c r="BG23" t="n">
        <v>0</v>
      </c>
      <c r="BH23" t="n">
        <v>0</v>
      </c>
      <c r="BK23" t="n">
        <v>0</v>
      </c>
      <c r="BQ23" t="n">
        <v>0</v>
      </c>
      <c r="CB23" s="98" t="n">
        <v>0</v>
      </c>
      <c r="CC23" t="n">
        <v>5</v>
      </c>
      <c r="CD23" t="n">
        <v>5</v>
      </c>
      <c r="CE23" t="n">
        <v>0</v>
      </c>
      <c r="CF23" t="n">
        <v>0</v>
      </c>
      <c r="CG23" t="n">
        <v>0</v>
      </c>
      <c r="CH23" t="n">
        <v>6</v>
      </c>
      <c r="CI23" t="n">
        <v>0</v>
      </c>
      <c r="CJ23" t="n">
        <v>11</v>
      </c>
      <c r="CK23" t="n">
        <v>0</v>
      </c>
      <c r="CL23" t="n">
        <v>11</v>
      </c>
    </row>
    <row r="24">
      <c r="A24" t="inlineStr">
        <is>
          <t>Ganter F.</t>
        </is>
      </c>
      <c r="B24" t="inlineStr">
        <is>
          <t>M</t>
        </is>
      </c>
      <c r="C24" t="n">
        <v>380</v>
      </c>
      <c r="X24" s="98" t="inlineStr">
        <is>
          <t xml:space="preserve"> </t>
        </is>
      </c>
      <c r="AH24" t="n">
        <v>0</v>
      </c>
      <c r="BK24" t="n">
        <v>0</v>
      </c>
      <c r="CB24" s="98" t="n">
        <v>1</v>
      </c>
      <c r="CC24" t="n">
        <v>1</v>
      </c>
      <c r="CD24" t="n">
        <v>2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2</v>
      </c>
      <c r="CK24" t="n">
        <v>0</v>
      </c>
      <c r="CL24" t="n">
        <v>382</v>
      </c>
    </row>
    <row r="25">
      <c r="A25" t="inlineStr">
        <is>
          <t>Glase Rico</t>
        </is>
      </c>
      <c r="B25" t="inlineStr">
        <is>
          <t>M</t>
        </is>
      </c>
      <c r="C25" t="n">
        <v>27</v>
      </c>
      <c r="X25" s="98" t="inlineStr">
        <is>
          <t xml:space="preserve"> </t>
        </is>
      </c>
      <c r="BH25" t="n">
        <v>0</v>
      </c>
      <c r="BO25" t="n">
        <v>0</v>
      </c>
      <c r="BP25" t="n">
        <v>0</v>
      </c>
      <c r="CB25" s="98" t="n">
        <v>0</v>
      </c>
      <c r="CC25" t="n">
        <v>3</v>
      </c>
      <c r="CD25" t="n">
        <v>3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3</v>
      </c>
      <c r="CK25" t="n">
        <v>0</v>
      </c>
      <c r="CL25" t="n">
        <v>30</v>
      </c>
    </row>
    <row r="26">
      <c r="A26" t="inlineStr">
        <is>
          <t>Günter Ralf</t>
        </is>
      </c>
      <c r="B26" t="inlineStr">
        <is>
          <t>L</t>
        </is>
      </c>
      <c r="C26" t="n">
        <v>86</v>
      </c>
      <c r="F26" t="n">
        <v>0</v>
      </c>
      <c r="H26" t="n">
        <v>0</v>
      </c>
      <c r="I26" t="n">
        <v>0</v>
      </c>
      <c r="J26" t="n">
        <v>0</v>
      </c>
      <c r="R26" t="n">
        <v>0</v>
      </c>
      <c r="T26" t="n">
        <v>0</v>
      </c>
      <c r="X26" s="98" t="inlineStr">
        <is>
          <t xml:space="preserve"> </t>
        </is>
      </c>
      <c r="Y26" t="n">
        <v>0</v>
      </c>
      <c r="Z26" t="n">
        <v>0</v>
      </c>
      <c r="AA26" t="n">
        <v>0</v>
      </c>
      <c r="AB26" t="n">
        <v>0</v>
      </c>
      <c r="AI26" t="n">
        <v>0</v>
      </c>
      <c r="AJ26" t="n">
        <v>0</v>
      </c>
      <c r="AK26" t="n">
        <v>0</v>
      </c>
      <c r="AL26" t="n">
        <v>0</v>
      </c>
      <c r="AN26" t="n">
        <v>0</v>
      </c>
      <c r="AP26" t="n">
        <v>1</v>
      </c>
      <c r="AQ26" t="n">
        <v>0</v>
      </c>
      <c r="AS26" t="n">
        <v>0</v>
      </c>
      <c r="AT26" t="n">
        <v>0</v>
      </c>
      <c r="BI26" t="n">
        <v>0</v>
      </c>
      <c r="CB26" s="98" t="n">
        <v>13</v>
      </c>
      <c r="CC26" t="n">
        <v>1</v>
      </c>
      <c r="CD26" t="n">
        <v>14</v>
      </c>
      <c r="CE26" t="n">
        <v>1</v>
      </c>
      <c r="CF26" t="n">
        <v>0</v>
      </c>
      <c r="CG26" t="n">
        <v>1</v>
      </c>
      <c r="CH26" t="n">
        <v>6</v>
      </c>
      <c r="CI26" t="n">
        <v>0</v>
      </c>
      <c r="CJ26" t="n">
        <v>20</v>
      </c>
      <c r="CK26" t="n">
        <v>1</v>
      </c>
      <c r="CL26" t="n">
        <v>106</v>
      </c>
    </row>
    <row r="27">
      <c r="A27" t="inlineStr">
        <is>
          <t>Haberstroh Benny</t>
        </is>
      </c>
      <c r="B27" t="inlineStr">
        <is>
          <t>M</t>
        </is>
      </c>
      <c r="C27" t="n">
        <v>16</v>
      </c>
      <c r="X27" s="98" t="inlineStr">
        <is>
          <t xml:space="preserve"> </t>
        </is>
      </c>
      <c r="CB27" s="98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16</v>
      </c>
    </row>
    <row r="28">
      <c r="A28" t="inlineStr">
        <is>
          <t>Haberstroh Michael</t>
        </is>
      </c>
      <c r="B28" t="inlineStr">
        <is>
          <t>M</t>
        </is>
      </c>
      <c r="C28" t="n">
        <v>3</v>
      </c>
      <c r="X28" s="98" t="inlineStr">
        <is>
          <t xml:space="preserve"> </t>
        </is>
      </c>
      <c r="CB28" s="9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3</v>
      </c>
    </row>
    <row r="29">
      <c r="A29" t="inlineStr">
        <is>
          <t>Haberstroh Raphael</t>
        </is>
      </c>
      <c r="B29" t="inlineStr">
        <is>
          <t>M</t>
        </is>
      </c>
      <c r="C29" t="n">
        <v>74</v>
      </c>
      <c r="F29" t="n">
        <v>0</v>
      </c>
      <c r="I29" t="n">
        <v>0</v>
      </c>
      <c r="J29" t="n">
        <v>0</v>
      </c>
      <c r="R29" t="n">
        <v>0</v>
      </c>
      <c r="T29" t="n">
        <v>0</v>
      </c>
      <c r="V29" t="n">
        <v>3</v>
      </c>
      <c r="W29" t="n">
        <v>1</v>
      </c>
      <c r="X29" s="98" t="inlineStr">
        <is>
          <t xml:space="preserve"> </t>
        </is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S29" t="n">
        <v>0</v>
      </c>
      <c r="AT29" t="n">
        <v>0</v>
      </c>
      <c r="AU29" t="n">
        <v>0</v>
      </c>
      <c r="AV29" t="n">
        <v>0</v>
      </c>
      <c r="BJ29" t="n">
        <v>1</v>
      </c>
      <c r="BL29" t="n">
        <v>0</v>
      </c>
      <c r="BM29" t="n">
        <v>2</v>
      </c>
      <c r="BO29" t="n">
        <v>0</v>
      </c>
      <c r="BP29" t="n">
        <v>0</v>
      </c>
      <c r="CB29" s="98" t="n">
        <v>14</v>
      </c>
      <c r="CC29" t="n">
        <v>5</v>
      </c>
      <c r="CD29" t="n">
        <v>19</v>
      </c>
      <c r="CE29" t="n">
        <v>0</v>
      </c>
      <c r="CF29" t="n">
        <v>3</v>
      </c>
      <c r="CG29" t="n">
        <v>3</v>
      </c>
      <c r="CH29" t="n">
        <v>7</v>
      </c>
      <c r="CI29" t="n">
        <v>4</v>
      </c>
      <c r="CJ29" t="n">
        <v>26</v>
      </c>
      <c r="CK29" t="n">
        <v>7</v>
      </c>
      <c r="CL29" t="n">
        <v>100</v>
      </c>
    </row>
    <row r="30">
      <c r="A30" t="inlineStr">
        <is>
          <t>Heilmann M.</t>
        </is>
      </c>
      <c r="B30" t="inlineStr">
        <is>
          <t>M</t>
        </is>
      </c>
      <c r="C30" t="n">
        <v>243</v>
      </c>
      <c r="X30" s="98" t="inlineStr">
        <is>
          <t xml:space="preserve"> </t>
        </is>
      </c>
      <c r="CB30" s="98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243</v>
      </c>
    </row>
    <row r="31">
      <c r="A31" t="inlineStr">
        <is>
          <t>Hornikel A.</t>
        </is>
      </c>
      <c r="B31" t="inlineStr">
        <is>
          <t>M</t>
        </is>
      </c>
      <c r="C31" t="n">
        <v>336</v>
      </c>
      <c r="X31" s="98" t="inlineStr">
        <is>
          <t xml:space="preserve"> </t>
        </is>
      </c>
      <c r="CB31" s="98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336</v>
      </c>
    </row>
    <row r="32">
      <c r="A32" t="inlineStr">
        <is>
          <t>Jäckle M.</t>
        </is>
      </c>
      <c r="B32" t="inlineStr">
        <is>
          <t>M</t>
        </is>
      </c>
      <c r="C32" t="n">
        <v>274</v>
      </c>
      <c r="X32" s="98" t="inlineStr">
        <is>
          <t xml:space="preserve"> </t>
        </is>
      </c>
      <c r="CB32" s="98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274</v>
      </c>
    </row>
    <row r="33">
      <c r="A33" t="inlineStr">
        <is>
          <t>Jaki S.</t>
        </is>
      </c>
      <c r="B33" t="inlineStr">
        <is>
          <t>M</t>
        </is>
      </c>
      <c r="C33" t="n">
        <v>442</v>
      </c>
      <c r="H33" t="n">
        <v>0</v>
      </c>
      <c r="U33" t="n">
        <v>1</v>
      </c>
      <c r="X33" s="98" t="inlineStr">
        <is>
          <t xml:space="preserve"> </t>
        </is>
      </c>
      <c r="BE33" t="n">
        <v>3</v>
      </c>
      <c r="BF33" t="n">
        <v>1</v>
      </c>
      <c r="BG33" t="n">
        <v>2</v>
      </c>
      <c r="BI33" t="n">
        <v>0</v>
      </c>
      <c r="BJ33" t="n">
        <v>0</v>
      </c>
      <c r="BK33" t="n">
        <v>0</v>
      </c>
      <c r="BO33" t="n">
        <v>0</v>
      </c>
      <c r="BP33" t="n">
        <v>0</v>
      </c>
      <c r="CB33" s="98" t="n">
        <v>0</v>
      </c>
      <c r="CC33" t="n">
        <v>8</v>
      </c>
      <c r="CD33" t="n">
        <v>8</v>
      </c>
      <c r="CE33" t="n">
        <v>0</v>
      </c>
      <c r="CF33" t="n">
        <v>6</v>
      </c>
      <c r="CG33" t="n">
        <v>6</v>
      </c>
      <c r="CH33" t="n">
        <v>2</v>
      </c>
      <c r="CI33" t="n">
        <v>1</v>
      </c>
      <c r="CJ33" t="n">
        <v>10</v>
      </c>
      <c r="CK33" t="n">
        <v>7</v>
      </c>
      <c r="CL33" t="n">
        <v>452</v>
      </c>
    </row>
    <row r="34">
      <c r="A34" t="inlineStr">
        <is>
          <t>Jauch Jo.</t>
        </is>
      </c>
      <c r="B34" t="inlineStr">
        <is>
          <t>M</t>
        </is>
      </c>
      <c r="C34" t="n">
        <v>343</v>
      </c>
      <c r="X34" s="98" t="inlineStr">
        <is>
          <t xml:space="preserve"> </t>
        </is>
      </c>
      <c r="CB34" s="98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343</v>
      </c>
    </row>
    <row r="35">
      <c r="A35" t="inlineStr">
        <is>
          <t>Jauch Jürgen</t>
        </is>
      </c>
      <c r="B35" t="inlineStr">
        <is>
          <t>M</t>
        </is>
      </c>
      <c r="C35" t="n">
        <v>214</v>
      </c>
      <c r="X35" s="98" t="inlineStr">
        <is>
          <t xml:space="preserve"> </t>
        </is>
      </c>
      <c r="CB35" s="98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214</v>
      </c>
    </row>
    <row r="36">
      <c r="A36" t="inlineStr">
        <is>
          <t>Klausmann M.</t>
        </is>
      </c>
      <c r="B36" t="inlineStr">
        <is>
          <t>M</t>
        </is>
      </c>
      <c r="C36" t="n">
        <v>253</v>
      </c>
      <c r="X36" s="98" t="inlineStr">
        <is>
          <t xml:space="preserve"> </t>
        </is>
      </c>
      <c r="CB36" s="98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253</v>
      </c>
    </row>
    <row r="37">
      <c r="A37" t="inlineStr">
        <is>
          <t>Klein Daniel</t>
        </is>
      </c>
      <c r="B37" t="inlineStr">
        <is>
          <t>M</t>
        </is>
      </c>
      <c r="C37" t="n">
        <v>126</v>
      </c>
      <c r="F37" t="n">
        <v>0</v>
      </c>
      <c r="H37" t="n">
        <v>0</v>
      </c>
      <c r="T37" t="n">
        <v>0</v>
      </c>
      <c r="U37" t="n">
        <v>0</v>
      </c>
      <c r="V37" t="n">
        <v>0</v>
      </c>
      <c r="X37" s="98" t="inlineStr">
        <is>
          <t xml:space="preserve"> </t>
        </is>
      </c>
      <c r="Y37" t="n">
        <v>0</v>
      </c>
      <c r="Z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CB37" s="98" t="n">
        <v>2</v>
      </c>
      <c r="CC37" t="n">
        <v>12</v>
      </c>
      <c r="CD37" t="n">
        <v>14</v>
      </c>
      <c r="CE37" t="n">
        <v>0</v>
      </c>
      <c r="CF37" t="n">
        <v>0</v>
      </c>
      <c r="CG37" t="n">
        <v>0</v>
      </c>
      <c r="CH37" t="n">
        <v>5</v>
      </c>
      <c r="CI37" t="n">
        <v>0</v>
      </c>
      <c r="CJ37" t="n">
        <v>19</v>
      </c>
      <c r="CK37" t="n">
        <v>0</v>
      </c>
      <c r="CL37" t="n">
        <v>145</v>
      </c>
    </row>
    <row r="38">
      <c r="A38" t="inlineStr">
        <is>
          <t>Linder Andreas</t>
        </is>
      </c>
      <c r="B38" t="inlineStr">
        <is>
          <t>L</t>
        </is>
      </c>
      <c r="C38" t="n">
        <v>35</v>
      </c>
      <c r="W38" t="n">
        <v>0</v>
      </c>
      <c r="X38" s="98" t="inlineStr">
        <is>
          <t xml:space="preserve"> </t>
        </is>
      </c>
      <c r="BH38" t="n">
        <v>0</v>
      </c>
      <c r="BI38" t="n">
        <v>0</v>
      </c>
      <c r="BJ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CB38" s="98" t="n">
        <v>0</v>
      </c>
      <c r="CC38" t="n">
        <v>9</v>
      </c>
      <c r="CD38" t="n">
        <v>9</v>
      </c>
      <c r="CE38" t="n">
        <v>0</v>
      </c>
      <c r="CF38" t="n">
        <v>0</v>
      </c>
      <c r="CG38" t="n">
        <v>0</v>
      </c>
      <c r="CH38" t="n">
        <v>1</v>
      </c>
      <c r="CI38" t="n">
        <v>0</v>
      </c>
      <c r="CJ38" t="n">
        <v>10</v>
      </c>
      <c r="CK38" t="n">
        <v>0</v>
      </c>
      <c r="CL38" t="n">
        <v>45</v>
      </c>
    </row>
    <row r="39">
      <c r="A39" t="inlineStr">
        <is>
          <t>Löffler Marius</t>
        </is>
      </c>
      <c r="B39" t="inlineStr">
        <is>
          <t>L</t>
        </is>
      </c>
      <c r="C39" t="n">
        <v>56</v>
      </c>
      <c r="F39" t="n">
        <v>0</v>
      </c>
      <c r="H39" t="n">
        <v>0</v>
      </c>
      <c r="I39" t="n">
        <v>0</v>
      </c>
      <c r="J39" t="n">
        <v>0</v>
      </c>
      <c r="R39" t="n">
        <v>1</v>
      </c>
      <c r="T39" t="n">
        <v>0</v>
      </c>
      <c r="V39" t="n">
        <v>0</v>
      </c>
      <c r="X39" s="98" t="inlineStr">
        <is>
          <t xml:space="preserve"> </t>
        </is>
      </c>
      <c r="Y39" t="n">
        <v>0</v>
      </c>
      <c r="Z39" t="n">
        <v>2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N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CB39" s="98" t="n">
        <v>22</v>
      </c>
      <c r="CC39" t="n">
        <v>0</v>
      </c>
      <c r="CD39" t="n">
        <v>22</v>
      </c>
      <c r="CE39" t="n">
        <v>3</v>
      </c>
      <c r="CF39" t="n">
        <v>0</v>
      </c>
      <c r="CG39" t="n">
        <v>3</v>
      </c>
      <c r="CH39" t="n">
        <v>7</v>
      </c>
      <c r="CI39" t="n">
        <v>1</v>
      </c>
      <c r="CJ39" t="n">
        <v>29</v>
      </c>
      <c r="CK39" t="n">
        <v>4</v>
      </c>
      <c r="CL39" t="n">
        <v>85</v>
      </c>
    </row>
    <row r="40">
      <c r="A40" t="inlineStr">
        <is>
          <t>Marte Marvin</t>
        </is>
      </c>
      <c r="B40" t="inlineStr">
        <is>
          <t>M</t>
        </is>
      </c>
      <c r="C40" t="n">
        <v>72</v>
      </c>
      <c r="F40" t="n">
        <v>0</v>
      </c>
      <c r="I40" t="n">
        <v>0</v>
      </c>
      <c r="J40" t="n">
        <v>0</v>
      </c>
      <c r="R40" t="n">
        <v>0</v>
      </c>
      <c r="S40" t="n">
        <v>0</v>
      </c>
      <c r="X40" s="98" t="inlineStr">
        <is>
          <t xml:space="preserve"> </t>
        </is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I40" t="n">
        <v>0</v>
      </c>
      <c r="AJ40" t="n">
        <v>0</v>
      </c>
      <c r="AK40" t="n">
        <v>0</v>
      </c>
      <c r="AL40" t="n">
        <v>0</v>
      </c>
      <c r="AN40" t="n">
        <v>0</v>
      </c>
      <c r="AP40" t="n">
        <v>0</v>
      </c>
      <c r="AQ40" t="n">
        <v>1</v>
      </c>
      <c r="AR40" t="n">
        <v>0</v>
      </c>
      <c r="AT40" t="n">
        <v>0</v>
      </c>
      <c r="AU40" t="n">
        <v>0</v>
      </c>
      <c r="AV40" t="n">
        <v>0</v>
      </c>
      <c r="CB40" s="98" t="n">
        <v>20</v>
      </c>
      <c r="CC40" t="n">
        <v>0</v>
      </c>
      <c r="CD40" t="n">
        <v>20</v>
      </c>
      <c r="CE40" t="n">
        <v>3</v>
      </c>
      <c r="CF40" t="n">
        <v>0</v>
      </c>
      <c r="CG40" t="n">
        <v>3</v>
      </c>
      <c r="CH40" t="n">
        <v>5</v>
      </c>
      <c r="CI40" t="n">
        <v>0</v>
      </c>
      <c r="CJ40" t="n">
        <v>25</v>
      </c>
      <c r="CK40" t="n">
        <v>3</v>
      </c>
      <c r="CL40" t="n">
        <v>97</v>
      </c>
    </row>
    <row r="41">
      <c r="A41" t="inlineStr">
        <is>
          <t>Moosmann J.</t>
        </is>
      </c>
      <c r="B41" t="inlineStr">
        <is>
          <t>L</t>
        </is>
      </c>
      <c r="C41" t="n">
        <v>63</v>
      </c>
      <c r="F41" t="n">
        <v>1</v>
      </c>
      <c r="H41" t="n">
        <v>0</v>
      </c>
      <c r="I41" t="n">
        <v>0</v>
      </c>
      <c r="R41" t="n">
        <v>0</v>
      </c>
      <c r="V41" t="n">
        <v>0</v>
      </c>
      <c r="X41" s="98" t="inlineStr">
        <is>
          <t xml:space="preserve"> </t>
        </is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CB41" s="98" t="n">
        <v>10</v>
      </c>
      <c r="CC41" t="n">
        <v>0</v>
      </c>
      <c r="CD41" t="n">
        <v>10</v>
      </c>
      <c r="CE41" t="n">
        <v>0</v>
      </c>
      <c r="CF41" t="n">
        <v>0</v>
      </c>
      <c r="CG41" t="n">
        <v>0</v>
      </c>
      <c r="CH41" t="n">
        <v>5</v>
      </c>
      <c r="CI41" t="n">
        <v>1</v>
      </c>
      <c r="CJ41" t="n">
        <v>15</v>
      </c>
      <c r="CK41" t="n">
        <v>1</v>
      </c>
      <c r="CL41" t="n">
        <v>78</v>
      </c>
    </row>
    <row r="42">
      <c r="A42" t="inlineStr">
        <is>
          <t>Moosmann M.</t>
        </is>
      </c>
      <c r="B42" t="inlineStr">
        <is>
          <t>M</t>
        </is>
      </c>
      <c r="C42" t="n">
        <v>351</v>
      </c>
      <c r="X42" s="98" t="inlineStr">
        <is>
          <t xml:space="preserve"> </t>
        </is>
      </c>
      <c r="CB42" s="98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351</v>
      </c>
    </row>
    <row r="43">
      <c r="A43" t="inlineStr">
        <is>
          <t>Müller Andre</t>
        </is>
      </c>
      <c r="W43" t="n">
        <v>0</v>
      </c>
      <c r="X43" s="98" t="inlineStr">
        <is>
          <t xml:space="preserve"> </t>
        </is>
      </c>
      <c r="BJ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CB43" s="98" t="n">
        <v>0</v>
      </c>
      <c r="CC43" t="n">
        <v>7</v>
      </c>
      <c r="CD43" t="n">
        <v>7</v>
      </c>
      <c r="CE43" t="n">
        <v>0</v>
      </c>
      <c r="CF43" t="n">
        <v>0</v>
      </c>
      <c r="CG43" t="n">
        <v>0</v>
      </c>
      <c r="CH43" t="n">
        <v>1</v>
      </c>
      <c r="CI43" t="n">
        <v>0</v>
      </c>
      <c r="CJ43" t="n">
        <v>8</v>
      </c>
      <c r="CK43" t="n">
        <v>0</v>
      </c>
      <c r="CL43" t="n">
        <v>8</v>
      </c>
    </row>
    <row r="44">
      <c r="A44" t="inlineStr">
        <is>
          <t>Müller Thorsten</t>
        </is>
      </c>
      <c r="B44" t="inlineStr">
        <is>
          <t>M</t>
        </is>
      </c>
      <c r="C44" t="n">
        <v>6</v>
      </c>
      <c r="F44" t="n">
        <v>0</v>
      </c>
      <c r="I44" t="n">
        <v>0</v>
      </c>
      <c r="J44" t="n">
        <v>0</v>
      </c>
      <c r="U44" t="n">
        <v>0</v>
      </c>
      <c r="V44" t="n">
        <v>0</v>
      </c>
      <c r="W44" t="n">
        <v>0</v>
      </c>
      <c r="X44" s="98" t="inlineStr">
        <is>
          <t xml:space="preserve"> </t>
        </is>
      </c>
      <c r="BE44" t="n">
        <v>0</v>
      </c>
      <c r="BF44" t="n">
        <v>0</v>
      </c>
      <c r="BH44" t="n">
        <v>0</v>
      </c>
      <c r="BJ44" t="n">
        <v>0</v>
      </c>
      <c r="BK44" t="n">
        <v>0</v>
      </c>
      <c r="BL44" t="n">
        <v>0</v>
      </c>
      <c r="BM44" t="n">
        <v>1</v>
      </c>
      <c r="BN44" t="n">
        <v>0</v>
      </c>
      <c r="BP44" t="n">
        <v>0</v>
      </c>
      <c r="BQ44" t="n">
        <v>0</v>
      </c>
      <c r="CB44" s="98" t="n">
        <v>0</v>
      </c>
      <c r="CC44" t="n">
        <v>10</v>
      </c>
      <c r="CD44" t="n">
        <v>10</v>
      </c>
      <c r="CE44" t="n">
        <v>0</v>
      </c>
      <c r="CF44" t="n">
        <v>1</v>
      </c>
      <c r="CG44" t="n">
        <v>1</v>
      </c>
      <c r="CH44" t="n">
        <v>6</v>
      </c>
      <c r="CI44" t="n">
        <v>0</v>
      </c>
      <c r="CJ44" t="n">
        <v>16</v>
      </c>
      <c r="CK44" t="n">
        <v>1</v>
      </c>
      <c r="CL44" t="n">
        <v>22</v>
      </c>
    </row>
    <row r="45">
      <c r="A45" t="inlineStr">
        <is>
          <t>Müller-Kohl, Ricardo</t>
        </is>
      </c>
      <c r="B45" t="inlineStr">
        <is>
          <t>M</t>
        </is>
      </c>
      <c r="C45" t="n">
        <v>4</v>
      </c>
      <c r="X45" s="98" t="inlineStr">
        <is>
          <t xml:space="preserve"> </t>
        </is>
      </c>
      <c r="CB45" s="98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4</v>
      </c>
    </row>
    <row r="46">
      <c r="A46" t="inlineStr">
        <is>
          <t>Murer Matthias</t>
        </is>
      </c>
      <c r="B46" t="inlineStr">
        <is>
          <t>L</t>
        </is>
      </c>
      <c r="C46" t="n">
        <v>181</v>
      </c>
      <c r="I46" t="n">
        <v>0</v>
      </c>
      <c r="S46" t="n">
        <v>1</v>
      </c>
      <c r="U46" t="n">
        <v>0</v>
      </c>
      <c r="W46" t="n">
        <v>0</v>
      </c>
      <c r="X46" s="98" t="inlineStr">
        <is>
          <t xml:space="preserve"> </t>
        </is>
      </c>
      <c r="AC46" t="n">
        <v>2</v>
      </c>
      <c r="AD46" t="n">
        <v>0</v>
      </c>
      <c r="AE46" t="n">
        <v>0</v>
      </c>
      <c r="AG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CB46" s="98" t="n">
        <v>4</v>
      </c>
      <c r="CC46" t="n">
        <v>9</v>
      </c>
      <c r="CD46" t="n">
        <v>13</v>
      </c>
      <c r="CE46" t="n">
        <v>2</v>
      </c>
      <c r="CF46" t="n">
        <v>0</v>
      </c>
      <c r="CG46" t="n">
        <v>2</v>
      </c>
      <c r="CH46" t="n">
        <v>4</v>
      </c>
      <c r="CI46" t="n">
        <v>1</v>
      </c>
      <c r="CJ46" t="n">
        <v>17</v>
      </c>
      <c r="CK46" t="n">
        <v>3</v>
      </c>
      <c r="CL46" t="n">
        <v>198</v>
      </c>
    </row>
    <row r="47">
      <c r="A47" t="inlineStr">
        <is>
          <t>Oehler Alex</t>
        </is>
      </c>
      <c r="B47" t="inlineStr">
        <is>
          <t>L</t>
        </is>
      </c>
      <c r="C47" t="n">
        <v>24</v>
      </c>
      <c r="X47" s="98" t="inlineStr">
        <is>
          <t xml:space="preserve"> </t>
        </is>
      </c>
      <c r="CB47" s="98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24</v>
      </c>
    </row>
    <row r="48">
      <c r="A48" t="inlineStr">
        <is>
          <t>Oehler Christoph</t>
        </is>
      </c>
      <c r="B48" t="inlineStr">
        <is>
          <t>L</t>
        </is>
      </c>
      <c r="C48" t="n">
        <v>54</v>
      </c>
      <c r="X48" s="98" t="inlineStr">
        <is>
          <t xml:space="preserve"> </t>
        </is>
      </c>
      <c r="CB48" s="9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54</v>
      </c>
    </row>
    <row r="49">
      <c r="A49" t="inlineStr">
        <is>
          <t>Pfundstein Andreas</t>
        </is>
      </c>
      <c r="B49" t="inlineStr">
        <is>
          <t>L</t>
        </is>
      </c>
      <c r="C49" t="n">
        <v>105</v>
      </c>
      <c r="H49" t="n">
        <v>1</v>
      </c>
      <c r="I49" t="n">
        <v>0</v>
      </c>
      <c r="X49" s="98" t="inlineStr">
        <is>
          <t xml:space="preserve"> </t>
        </is>
      </c>
      <c r="CB49" s="98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2</v>
      </c>
      <c r="CI49" t="n">
        <v>1</v>
      </c>
      <c r="CJ49" t="n">
        <v>2</v>
      </c>
      <c r="CK49" t="n">
        <v>1</v>
      </c>
      <c r="CL49" t="n">
        <v>107</v>
      </c>
    </row>
    <row r="50">
      <c r="A50" t="inlineStr">
        <is>
          <t>Preuss Jeremias</t>
        </is>
      </c>
      <c r="F50" t="n">
        <v>0</v>
      </c>
      <c r="I50" t="n">
        <v>0</v>
      </c>
      <c r="J50" t="n">
        <v>0</v>
      </c>
      <c r="R50" t="n">
        <v>0</v>
      </c>
      <c r="S50" t="n">
        <v>0</v>
      </c>
      <c r="T50" t="n">
        <v>0</v>
      </c>
      <c r="X50" s="98" t="inlineStr">
        <is>
          <t xml:space="preserve"> </t>
        </is>
      </c>
      <c r="Z50" t="n">
        <v>0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N50" t="n">
        <v>4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BE50" t="n">
        <v>0</v>
      </c>
      <c r="CB50" s="98" t="n">
        <v>19</v>
      </c>
      <c r="CC50" t="n">
        <v>1</v>
      </c>
      <c r="CD50" t="n">
        <v>20</v>
      </c>
      <c r="CE50" t="n">
        <v>5</v>
      </c>
      <c r="CF50" t="n">
        <v>0</v>
      </c>
      <c r="CG50" t="n">
        <v>5</v>
      </c>
      <c r="CH50" t="n">
        <v>6</v>
      </c>
      <c r="CI50" t="n">
        <v>0</v>
      </c>
      <c r="CJ50" t="n">
        <v>26</v>
      </c>
      <c r="CK50" t="n">
        <v>5</v>
      </c>
      <c r="CL50" t="n">
        <v>26</v>
      </c>
    </row>
    <row r="51">
      <c r="A51" t="inlineStr">
        <is>
          <t>Preuss Jonas</t>
        </is>
      </c>
      <c r="B51" t="inlineStr">
        <is>
          <t>M</t>
        </is>
      </c>
      <c r="C51" t="n">
        <v>139</v>
      </c>
      <c r="F51" t="n">
        <v>1</v>
      </c>
      <c r="I51" t="n">
        <v>1</v>
      </c>
      <c r="J51" t="n">
        <v>0</v>
      </c>
      <c r="R51" t="n">
        <v>0</v>
      </c>
      <c r="S51" t="n">
        <v>0</v>
      </c>
      <c r="T51" t="n">
        <v>0</v>
      </c>
      <c r="X51" s="98" t="inlineStr">
        <is>
          <t xml:space="preserve"> </t>
        </is>
      </c>
      <c r="Y51" t="n">
        <v>0</v>
      </c>
      <c r="Z51" t="n">
        <v>0</v>
      </c>
      <c r="AA51" t="n">
        <v>0</v>
      </c>
      <c r="AB51" t="n">
        <v>1</v>
      </c>
      <c r="AC51" t="n">
        <v>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K51" t="n">
        <v>0</v>
      </c>
      <c r="AL51" t="n">
        <v>0</v>
      </c>
      <c r="AN51" t="n">
        <v>1</v>
      </c>
      <c r="AP51" t="n">
        <v>0</v>
      </c>
      <c r="AQ51" t="n">
        <v>0</v>
      </c>
      <c r="AR51" t="n">
        <v>2</v>
      </c>
      <c r="AS51" t="n">
        <v>0</v>
      </c>
      <c r="AT51" t="n">
        <v>0</v>
      </c>
      <c r="AU51" t="n">
        <v>0</v>
      </c>
      <c r="AV51" t="n">
        <v>0</v>
      </c>
      <c r="BK51" t="n">
        <v>0</v>
      </c>
      <c r="CB51" s="98" t="n">
        <v>21</v>
      </c>
      <c r="CC51" t="n">
        <v>1</v>
      </c>
      <c r="CD51" t="n">
        <v>22</v>
      </c>
      <c r="CE51" t="n">
        <v>7</v>
      </c>
      <c r="CF51" t="n">
        <v>0</v>
      </c>
      <c r="CG51" t="n">
        <v>7</v>
      </c>
      <c r="CH51" t="n">
        <v>6</v>
      </c>
      <c r="CI51" t="n">
        <v>2</v>
      </c>
      <c r="CJ51" t="n">
        <v>28</v>
      </c>
      <c r="CK51" t="n">
        <v>9</v>
      </c>
      <c r="CL51" t="n">
        <v>167</v>
      </c>
    </row>
    <row r="52">
      <c r="A52" t="inlineStr">
        <is>
          <t>Preuss Philip</t>
        </is>
      </c>
      <c r="B52" t="inlineStr">
        <is>
          <t>M</t>
        </is>
      </c>
      <c r="C52" t="n">
        <v>40</v>
      </c>
      <c r="S52" t="n">
        <v>0</v>
      </c>
      <c r="U52" t="n">
        <v>0</v>
      </c>
      <c r="V52" t="n">
        <v>0</v>
      </c>
      <c r="W52" t="n">
        <v>0</v>
      </c>
      <c r="X52" s="98" t="inlineStr">
        <is>
          <t xml:space="preserve"> </t>
        </is>
      </c>
      <c r="BF52" t="n">
        <v>0</v>
      </c>
      <c r="BG52" t="n">
        <v>0</v>
      </c>
      <c r="BH52" t="n">
        <v>0</v>
      </c>
      <c r="BJ52" t="n">
        <v>0</v>
      </c>
      <c r="BL52" t="n">
        <v>0</v>
      </c>
      <c r="BM52" t="n">
        <v>0</v>
      </c>
      <c r="BN52" t="n">
        <v>0</v>
      </c>
      <c r="BP52" t="n">
        <v>0</v>
      </c>
      <c r="BQ52" t="n">
        <v>0</v>
      </c>
      <c r="CB52" s="98" t="n">
        <v>0</v>
      </c>
      <c r="CC52" t="n">
        <v>9</v>
      </c>
      <c r="CD52" t="n">
        <v>9</v>
      </c>
      <c r="CE52" t="n">
        <v>0</v>
      </c>
      <c r="CF52" t="n">
        <v>0</v>
      </c>
      <c r="CG52" t="n">
        <v>0</v>
      </c>
      <c r="CH52" t="n">
        <v>4</v>
      </c>
      <c r="CI52" t="n">
        <v>0</v>
      </c>
      <c r="CJ52" t="n">
        <v>13</v>
      </c>
      <c r="CK52" t="n">
        <v>0</v>
      </c>
      <c r="CL52" t="n">
        <v>53</v>
      </c>
    </row>
    <row r="53">
      <c r="A53" t="inlineStr">
        <is>
          <t>Reuter J.</t>
        </is>
      </c>
      <c r="B53" t="inlineStr">
        <is>
          <t>M</t>
        </is>
      </c>
      <c r="C53" t="n">
        <v>101</v>
      </c>
      <c r="H53" t="n">
        <v>0</v>
      </c>
      <c r="I53" t="n">
        <v>0</v>
      </c>
      <c r="J53" t="n">
        <v>0</v>
      </c>
      <c r="S53" t="n">
        <v>0</v>
      </c>
      <c r="X53" s="98" t="inlineStr">
        <is>
          <t xml:space="preserve"> </t>
        </is>
      </c>
      <c r="Z53" t="n">
        <v>0</v>
      </c>
      <c r="AB53" t="n">
        <v>0</v>
      </c>
      <c r="AC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K53" t="n">
        <v>0</v>
      </c>
      <c r="AN53" t="n">
        <v>1</v>
      </c>
      <c r="AR53" t="n">
        <v>0</v>
      </c>
      <c r="AS53" t="n">
        <v>0</v>
      </c>
      <c r="AT53" t="n">
        <v>0</v>
      </c>
      <c r="AV53" t="n">
        <v>0</v>
      </c>
      <c r="BN53" t="n">
        <v>0</v>
      </c>
      <c r="BP53" t="n">
        <v>0</v>
      </c>
      <c r="CB53" s="98" t="n">
        <v>14</v>
      </c>
      <c r="CC53" t="n">
        <v>2</v>
      </c>
      <c r="CD53" t="n">
        <v>16</v>
      </c>
      <c r="CE53" t="n">
        <v>1</v>
      </c>
      <c r="CF53" t="n">
        <v>0</v>
      </c>
      <c r="CG53" t="n">
        <v>1</v>
      </c>
      <c r="CH53" t="n">
        <v>4</v>
      </c>
      <c r="CI53" t="n">
        <v>0</v>
      </c>
      <c r="CJ53" t="n">
        <v>20</v>
      </c>
      <c r="CK53" t="n">
        <v>1</v>
      </c>
      <c r="CL53" t="n">
        <v>121</v>
      </c>
    </row>
    <row r="54">
      <c r="A54" t="inlineStr">
        <is>
          <t>Roeder</t>
        </is>
      </c>
      <c r="B54" t="inlineStr">
        <is>
          <t>M</t>
        </is>
      </c>
      <c r="C54" t="n">
        <v>68</v>
      </c>
      <c r="X54" s="98" t="inlineStr">
        <is>
          <t xml:space="preserve"> </t>
        </is>
      </c>
      <c r="BG54" t="n">
        <v>0</v>
      </c>
      <c r="BM54" t="n">
        <v>0</v>
      </c>
      <c r="CB54" s="98" t="n">
        <v>0</v>
      </c>
      <c r="CC54" t="n">
        <v>2</v>
      </c>
      <c r="CD54" t="n">
        <v>2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2</v>
      </c>
      <c r="CK54" t="n">
        <v>0</v>
      </c>
      <c r="CL54" t="n">
        <v>70</v>
      </c>
    </row>
    <row r="55">
      <c r="A55" t="inlineStr">
        <is>
          <t>Ruoff Ulli</t>
        </is>
      </c>
      <c r="B55" t="inlineStr">
        <is>
          <t>L</t>
        </is>
      </c>
      <c r="C55" t="n">
        <v>110</v>
      </c>
      <c r="U55" t="n">
        <v>1</v>
      </c>
      <c r="V55" t="n">
        <v>0</v>
      </c>
      <c r="W55" t="n">
        <v>0</v>
      </c>
      <c r="X55" s="98" t="inlineStr">
        <is>
          <t xml:space="preserve"> </t>
        </is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O55" t="n">
        <v>0</v>
      </c>
      <c r="BQ55" t="n">
        <v>0</v>
      </c>
      <c r="CB55" s="98" t="n">
        <v>0</v>
      </c>
      <c r="CC55" t="n">
        <v>11</v>
      </c>
      <c r="CD55" t="n">
        <v>11</v>
      </c>
      <c r="CE55" t="n">
        <v>0</v>
      </c>
      <c r="CF55" t="n">
        <v>0</v>
      </c>
      <c r="CG55" t="n">
        <v>0</v>
      </c>
      <c r="CH55" t="n">
        <v>3</v>
      </c>
      <c r="CI55" t="n">
        <v>1</v>
      </c>
      <c r="CJ55" t="n">
        <v>14</v>
      </c>
      <c r="CK55" t="n">
        <v>1</v>
      </c>
      <c r="CL55" t="n">
        <v>124</v>
      </c>
    </row>
    <row r="56">
      <c r="A56" t="inlineStr">
        <is>
          <t>Schaumann Seb</t>
        </is>
      </c>
      <c r="B56" t="inlineStr">
        <is>
          <t>M</t>
        </is>
      </c>
      <c r="C56" t="n">
        <v>8</v>
      </c>
      <c r="H56" t="n">
        <v>2</v>
      </c>
      <c r="I56" t="n">
        <v>1</v>
      </c>
      <c r="J56" t="n">
        <v>1</v>
      </c>
      <c r="R56" t="n">
        <v>1</v>
      </c>
      <c r="S56" t="n">
        <v>0</v>
      </c>
      <c r="T56" t="n">
        <v>0</v>
      </c>
      <c r="X56" s="98" t="inlineStr">
        <is>
          <t xml:space="preserve"> </t>
        </is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H56" t="n">
        <v>0</v>
      </c>
      <c r="AJ56" t="n">
        <v>0</v>
      </c>
      <c r="AL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CB56" s="98" t="n">
        <v>17</v>
      </c>
      <c r="CC56" t="n">
        <v>0</v>
      </c>
      <c r="CD56" t="n">
        <v>17</v>
      </c>
      <c r="CE56" t="n">
        <v>1</v>
      </c>
      <c r="CF56" t="n">
        <v>0</v>
      </c>
      <c r="CG56" t="n">
        <v>1</v>
      </c>
      <c r="CH56" t="n">
        <v>6</v>
      </c>
      <c r="CI56" t="n">
        <v>5</v>
      </c>
      <c r="CJ56" t="n">
        <v>23</v>
      </c>
      <c r="CK56" t="n">
        <v>6</v>
      </c>
      <c r="CL56" t="n">
        <v>31</v>
      </c>
    </row>
    <row r="57">
      <c r="A57" t="inlineStr">
        <is>
          <t>Schwenk Kevin</t>
        </is>
      </c>
      <c r="B57" t="inlineStr">
        <is>
          <t>L</t>
        </is>
      </c>
      <c r="C57" t="n">
        <v>77</v>
      </c>
      <c r="F57" t="n">
        <v>0</v>
      </c>
      <c r="I57" t="n">
        <v>0</v>
      </c>
      <c r="T57" t="n">
        <v>0</v>
      </c>
      <c r="V57" t="n">
        <v>0</v>
      </c>
      <c r="W57" t="n">
        <v>0</v>
      </c>
      <c r="X57" s="98" t="inlineStr">
        <is>
          <t xml:space="preserve"> </t>
        </is>
      </c>
      <c r="Y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L57" t="n">
        <v>0</v>
      </c>
      <c r="BI57" t="n">
        <v>0</v>
      </c>
      <c r="BJ57" t="n">
        <v>0</v>
      </c>
      <c r="BK57" t="n">
        <v>0</v>
      </c>
      <c r="BL57" t="n">
        <v>1</v>
      </c>
      <c r="BN57" t="n">
        <v>0</v>
      </c>
      <c r="BO57" t="n">
        <v>0</v>
      </c>
      <c r="BP57" t="n">
        <v>0</v>
      </c>
      <c r="BQ57" t="n">
        <v>0</v>
      </c>
      <c r="CB57" s="98" t="n">
        <v>7</v>
      </c>
      <c r="CC57" t="n">
        <v>8</v>
      </c>
      <c r="CD57" t="n">
        <v>15</v>
      </c>
      <c r="CE57" t="n">
        <v>0</v>
      </c>
      <c r="CF57" t="n">
        <v>1</v>
      </c>
      <c r="CG57" t="n">
        <v>1</v>
      </c>
      <c r="CH57" t="n">
        <v>5</v>
      </c>
      <c r="CI57" t="n">
        <v>0</v>
      </c>
      <c r="CJ57" t="n">
        <v>20</v>
      </c>
      <c r="CK57" t="n">
        <v>1</v>
      </c>
      <c r="CL57" t="n">
        <v>97</v>
      </c>
    </row>
    <row r="58">
      <c r="A58" t="inlineStr">
        <is>
          <t>Sekinger Fabian</t>
        </is>
      </c>
      <c r="U58" t="n">
        <v>1</v>
      </c>
      <c r="V58" t="n">
        <v>0</v>
      </c>
      <c r="X58" s="98" t="inlineStr">
        <is>
          <t xml:space="preserve"> </t>
        </is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M58" t="n">
        <v>0</v>
      </c>
      <c r="BN58" t="n">
        <v>0</v>
      </c>
      <c r="BO58" t="n">
        <v>0</v>
      </c>
      <c r="BQ58" t="n">
        <v>0</v>
      </c>
      <c r="CB58" s="98" t="n">
        <v>0</v>
      </c>
      <c r="CC58" t="n">
        <v>10</v>
      </c>
      <c r="CD58" t="n">
        <v>10</v>
      </c>
      <c r="CE58" t="n">
        <v>0</v>
      </c>
      <c r="CF58" t="n">
        <v>0</v>
      </c>
      <c r="CG58" t="n">
        <v>0</v>
      </c>
      <c r="CH58" t="n">
        <v>2</v>
      </c>
      <c r="CI58" t="n">
        <v>1</v>
      </c>
      <c r="CJ58" t="n">
        <v>12</v>
      </c>
      <c r="CK58" t="n">
        <v>1</v>
      </c>
      <c r="CL58" t="n">
        <v>12</v>
      </c>
    </row>
    <row r="59">
      <c r="A59" t="inlineStr">
        <is>
          <t>Staiger Elmar</t>
        </is>
      </c>
      <c r="B59" t="inlineStr">
        <is>
          <t>L</t>
        </is>
      </c>
      <c r="C59" t="n">
        <v>73</v>
      </c>
      <c r="X59" s="98" t="inlineStr">
        <is>
          <t xml:space="preserve"> </t>
        </is>
      </c>
      <c r="CB59" s="98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73</v>
      </c>
    </row>
    <row r="60">
      <c r="A60" t="inlineStr">
        <is>
          <t>Staiger Tobias</t>
        </is>
      </c>
      <c r="B60" t="inlineStr">
        <is>
          <t>L</t>
        </is>
      </c>
      <c r="C60" t="n">
        <v>194</v>
      </c>
      <c r="J60" t="n">
        <v>0</v>
      </c>
      <c r="S60" t="n">
        <v>1</v>
      </c>
      <c r="T60" t="n">
        <v>1</v>
      </c>
      <c r="U60" t="n">
        <v>2</v>
      </c>
      <c r="W60" t="n">
        <v>1</v>
      </c>
      <c r="X60" s="98" t="inlineStr">
        <is>
          <t xml:space="preserve"> </t>
        </is>
      </c>
      <c r="AA60" t="n">
        <v>0</v>
      </c>
      <c r="AB60" t="n">
        <v>0</v>
      </c>
      <c r="AC60" t="n">
        <v>3</v>
      </c>
      <c r="AD60" t="n">
        <v>0</v>
      </c>
      <c r="AE60" t="n">
        <v>0</v>
      </c>
      <c r="AF60" t="n">
        <v>0</v>
      </c>
      <c r="AG60" t="n">
        <v>2</v>
      </c>
      <c r="AH60" t="n">
        <v>0</v>
      </c>
      <c r="AI60" t="n">
        <v>2</v>
      </c>
      <c r="AJ60" t="n">
        <v>0</v>
      </c>
      <c r="AK60" t="n">
        <v>0</v>
      </c>
      <c r="AL60" t="n">
        <v>1</v>
      </c>
      <c r="AN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CB60" s="98" t="n">
        <v>20</v>
      </c>
      <c r="CC60" t="n">
        <v>0</v>
      </c>
      <c r="CD60" t="n">
        <v>20</v>
      </c>
      <c r="CE60" t="n">
        <v>8</v>
      </c>
      <c r="CF60" t="n">
        <v>0</v>
      </c>
      <c r="CG60" t="n">
        <v>8</v>
      </c>
      <c r="CH60" t="n">
        <v>5</v>
      </c>
      <c r="CI60" t="n">
        <v>5</v>
      </c>
      <c r="CJ60" t="n">
        <v>25</v>
      </c>
      <c r="CK60" t="n">
        <v>13</v>
      </c>
      <c r="CL60" t="n">
        <v>219</v>
      </c>
    </row>
    <row r="61">
      <c r="A61" t="inlineStr">
        <is>
          <t>Stein Matthias</t>
        </is>
      </c>
      <c r="B61" t="inlineStr">
        <is>
          <t>L</t>
        </is>
      </c>
      <c r="C61" t="n">
        <v>8</v>
      </c>
      <c r="X61" s="98" t="inlineStr">
        <is>
          <t xml:space="preserve"> </t>
        </is>
      </c>
      <c r="CB61" s="98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8</v>
      </c>
    </row>
    <row r="62">
      <c r="A62" t="inlineStr">
        <is>
          <t>Stern Alexander</t>
        </is>
      </c>
      <c r="B62" t="inlineStr">
        <is>
          <t>M</t>
        </is>
      </c>
      <c r="C62" t="n">
        <v>10</v>
      </c>
      <c r="F62" t="n">
        <v>0</v>
      </c>
      <c r="I62" t="n">
        <v>0</v>
      </c>
      <c r="J62" t="n">
        <v>0</v>
      </c>
      <c r="R62" t="n">
        <v>0</v>
      </c>
      <c r="S62" t="n">
        <v>0</v>
      </c>
      <c r="W62" t="n">
        <v>0</v>
      </c>
      <c r="X62" s="98" t="inlineStr">
        <is>
          <t xml:space="preserve"> </t>
        </is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N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BJ62" t="n">
        <v>0</v>
      </c>
      <c r="CB62" s="98" t="n">
        <v>20</v>
      </c>
      <c r="CC62" t="n">
        <v>1</v>
      </c>
      <c r="CD62" t="n">
        <v>21</v>
      </c>
      <c r="CE62" t="n">
        <v>0</v>
      </c>
      <c r="CF62" t="n">
        <v>0</v>
      </c>
      <c r="CG62" t="n">
        <v>0</v>
      </c>
      <c r="CH62" t="n">
        <v>6</v>
      </c>
      <c r="CI62" t="n">
        <v>0</v>
      </c>
      <c r="CJ62" t="n">
        <v>27</v>
      </c>
      <c r="CK62" t="n">
        <v>0</v>
      </c>
      <c r="CL62" t="n">
        <v>37</v>
      </c>
    </row>
    <row r="63">
      <c r="A63" t="inlineStr">
        <is>
          <t>Storz Tobi</t>
        </is>
      </c>
      <c r="B63" t="inlineStr">
        <is>
          <t>M</t>
        </is>
      </c>
      <c r="C63" t="n">
        <v>107</v>
      </c>
      <c r="X63" s="98" t="inlineStr">
        <is>
          <t xml:space="preserve"> </t>
        </is>
      </c>
      <c r="CB63" s="98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107</v>
      </c>
    </row>
    <row r="64">
      <c r="A64" t="inlineStr">
        <is>
          <t>Tramnitz Christoph</t>
        </is>
      </c>
      <c r="B64" t="inlineStr">
        <is>
          <t>L</t>
        </is>
      </c>
      <c r="C64" t="n">
        <v>51</v>
      </c>
      <c r="F64" t="n">
        <v>1</v>
      </c>
      <c r="R64" t="n">
        <v>0</v>
      </c>
      <c r="X64" s="98" t="inlineStr">
        <is>
          <t xml:space="preserve"> </t>
        </is>
      </c>
      <c r="Y64" t="n">
        <v>0</v>
      </c>
      <c r="Z64" t="n">
        <v>0</v>
      </c>
      <c r="AA64" t="n">
        <v>0</v>
      </c>
      <c r="AB64" t="n">
        <v>0</v>
      </c>
      <c r="AJ64" t="n">
        <v>0</v>
      </c>
      <c r="AK64" t="n">
        <v>0</v>
      </c>
      <c r="AL64" t="n">
        <v>0</v>
      </c>
      <c r="AP64" t="n">
        <v>0</v>
      </c>
      <c r="AQ64" t="n">
        <v>0</v>
      </c>
      <c r="AR64" t="n">
        <v>0</v>
      </c>
      <c r="AU64" t="n">
        <v>0</v>
      </c>
      <c r="BG64" t="n">
        <v>0</v>
      </c>
      <c r="BK64" t="n">
        <v>1</v>
      </c>
      <c r="CB64" s="98" t="n">
        <v>11</v>
      </c>
      <c r="CC64" t="n">
        <v>2</v>
      </c>
      <c r="CD64" t="n">
        <v>13</v>
      </c>
      <c r="CE64" t="n">
        <v>0</v>
      </c>
      <c r="CF64" t="n">
        <v>1</v>
      </c>
      <c r="CG64" t="n">
        <v>1</v>
      </c>
      <c r="CH64" t="n">
        <v>2</v>
      </c>
      <c r="CI64" t="n">
        <v>1</v>
      </c>
      <c r="CJ64" t="n">
        <v>15</v>
      </c>
      <c r="CK64" t="n">
        <v>2</v>
      </c>
      <c r="CL64" t="n">
        <v>66</v>
      </c>
    </row>
    <row r="65">
      <c r="A65" t="inlineStr">
        <is>
          <t>Verino Roberto</t>
        </is>
      </c>
      <c r="B65" t="inlineStr">
        <is>
          <t>M</t>
        </is>
      </c>
      <c r="C65" t="n">
        <v>74</v>
      </c>
      <c r="F65" t="n">
        <v>0</v>
      </c>
      <c r="H65" t="n">
        <v>0</v>
      </c>
      <c r="I65" t="n">
        <v>0</v>
      </c>
      <c r="T65" t="n">
        <v>0</v>
      </c>
      <c r="X65" s="98" t="inlineStr">
        <is>
          <t xml:space="preserve"> </t>
        </is>
      </c>
      <c r="AJ65" t="n">
        <v>0</v>
      </c>
      <c r="AL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CB65" s="98" t="n">
        <v>8</v>
      </c>
      <c r="CC65" t="n">
        <v>0</v>
      </c>
      <c r="CD65" t="n">
        <v>8</v>
      </c>
      <c r="CE65" t="n">
        <v>0</v>
      </c>
      <c r="CF65" t="n">
        <v>0</v>
      </c>
      <c r="CG65" t="n">
        <v>0</v>
      </c>
      <c r="CH65" t="n">
        <v>4</v>
      </c>
      <c r="CI65" t="n">
        <v>0</v>
      </c>
      <c r="CJ65" t="n">
        <v>12</v>
      </c>
      <c r="CK65" t="n">
        <v>0</v>
      </c>
      <c r="CL65" t="n">
        <v>86</v>
      </c>
    </row>
    <row r="66">
      <c r="A66" t="inlineStr">
        <is>
          <t>Zehnder Matze</t>
        </is>
      </c>
      <c r="B66" t="inlineStr">
        <is>
          <t>M</t>
        </is>
      </c>
      <c r="C66" t="n">
        <v>9</v>
      </c>
      <c r="U66" t="n">
        <v>0</v>
      </c>
      <c r="X66" s="98" t="inlineStr">
        <is>
          <t xml:space="preserve"> </t>
        </is>
      </c>
      <c r="BF66" t="n">
        <v>0</v>
      </c>
      <c r="BH66" t="n">
        <v>0</v>
      </c>
      <c r="BL66" t="n">
        <v>1</v>
      </c>
      <c r="BM66" t="n">
        <v>0</v>
      </c>
      <c r="BN66" t="n">
        <v>0</v>
      </c>
      <c r="BP66" t="n">
        <v>0</v>
      </c>
      <c r="BQ66" t="n">
        <v>0</v>
      </c>
      <c r="CB66" s="98" t="n">
        <v>0</v>
      </c>
      <c r="CC66" t="n">
        <v>7</v>
      </c>
      <c r="CD66" t="n">
        <v>7</v>
      </c>
      <c r="CE66" t="n">
        <v>0</v>
      </c>
      <c r="CF66" t="n">
        <v>1</v>
      </c>
      <c r="CG66" t="n">
        <v>1</v>
      </c>
      <c r="CH66" t="n">
        <v>1</v>
      </c>
      <c r="CI66" t="n">
        <v>0</v>
      </c>
      <c r="CJ66" t="n">
        <v>8</v>
      </c>
      <c r="CK66" t="n">
        <v>1</v>
      </c>
      <c r="CL66" t="n">
        <v>17</v>
      </c>
    </row>
    <row r="67">
      <c r="X67" s="98" t="inlineStr">
        <is>
          <t xml:space="preserve"> </t>
        </is>
      </c>
      <c r="CB67" s="98" t="inlineStr">
        <is>
          <t xml:space="preserve"> </t>
        </is>
      </c>
    </row>
    <row r="68">
      <c r="A68" s="10" t="inlineStr">
        <is>
          <t>Anzahl Spieler</t>
        </is>
      </c>
      <c r="B68" s="10" t="inlineStr">
        <is>
          <t xml:space="preserve"> </t>
        </is>
      </c>
      <c r="C68" s="11" t="inlineStr">
        <is>
          <t xml:space="preserve"> </t>
        </is>
      </c>
      <c r="D68" s="10" t="n">
        <v>0</v>
      </c>
      <c r="E68" s="10" t="n">
        <v>0</v>
      </c>
      <c r="F68" s="10" t="n">
        <v>16</v>
      </c>
      <c r="G68" s="10" t="n">
        <v>0</v>
      </c>
      <c r="H68" s="10" t="n">
        <v>16</v>
      </c>
      <c r="I68" s="10" t="n">
        <v>18</v>
      </c>
      <c r="J68" s="10" t="n">
        <v>15</v>
      </c>
      <c r="K68" s="10" t="n">
        <v>0</v>
      </c>
      <c r="L68" s="10" t="n">
        <v>0</v>
      </c>
      <c r="M68" s="10" t="n">
        <v>0</v>
      </c>
      <c r="N68" s="10" t="n">
        <v>0</v>
      </c>
      <c r="O68" s="10" t="n">
        <v>0</v>
      </c>
      <c r="P68" s="10" t="n">
        <v>0</v>
      </c>
      <c r="Q68" s="10" t="n">
        <v>0</v>
      </c>
      <c r="R68" s="10" t="n">
        <v>14</v>
      </c>
      <c r="S68" s="10" t="n">
        <v>14</v>
      </c>
      <c r="T68" s="10" t="n">
        <v>15</v>
      </c>
      <c r="U68" s="10" t="n">
        <v>14</v>
      </c>
      <c r="V68" s="10" t="n">
        <v>14</v>
      </c>
      <c r="W68" s="10" t="n">
        <v>15</v>
      </c>
      <c r="X68" s="10" t="n">
        <v>0</v>
      </c>
      <c r="Y68" s="10" t="n">
        <v>14</v>
      </c>
      <c r="Z68" s="10" t="n">
        <v>14</v>
      </c>
      <c r="AA68" s="10" t="n">
        <v>14</v>
      </c>
      <c r="AB68" s="10" t="n">
        <v>14</v>
      </c>
      <c r="AC68" s="10" t="n">
        <v>14</v>
      </c>
      <c r="AD68" s="10" t="n">
        <v>14</v>
      </c>
      <c r="AE68" s="10" t="n">
        <v>14</v>
      </c>
      <c r="AF68" s="10" t="n">
        <v>14</v>
      </c>
      <c r="AG68" s="10" t="n">
        <v>14</v>
      </c>
      <c r="AH68" s="10" t="n">
        <v>14</v>
      </c>
      <c r="AI68" s="10" t="n">
        <v>14</v>
      </c>
      <c r="AJ68" s="10" t="n">
        <v>14</v>
      </c>
      <c r="AK68" s="10" t="n">
        <v>14</v>
      </c>
      <c r="AL68" s="10" t="n">
        <v>14</v>
      </c>
      <c r="AM68" s="10" t="n">
        <v>0</v>
      </c>
      <c r="AN68" s="10" t="n">
        <v>14</v>
      </c>
      <c r="AO68" s="10" t="n">
        <v>0</v>
      </c>
      <c r="AP68" s="10" t="n">
        <v>14</v>
      </c>
      <c r="AQ68" s="10" t="n">
        <v>14</v>
      </c>
      <c r="AR68" s="10" t="n">
        <v>14</v>
      </c>
      <c r="AS68" s="10" t="n">
        <v>14</v>
      </c>
      <c r="AT68" s="10" t="n">
        <v>14</v>
      </c>
      <c r="AU68" s="10" t="n">
        <v>14</v>
      </c>
      <c r="AV68" s="10" t="n">
        <v>14</v>
      </c>
      <c r="AW68" s="10" t="n">
        <v>0</v>
      </c>
      <c r="AX68" s="10" t="n">
        <v>0</v>
      </c>
      <c r="AY68" s="10" t="n">
        <v>0</v>
      </c>
      <c r="AZ68" s="10" t="n">
        <v>0</v>
      </c>
      <c r="BA68" s="10" t="n">
        <v>0</v>
      </c>
      <c r="BB68" s="10" t="n">
        <v>0</v>
      </c>
      <c r="BC68" s="10" t="n">
        <v>0</v>
      </c>
      <c r="BD68" s="10" t="n">
        <v>0</v>
      </c>
      <c r="BE68" s="10" t="n">
        <v>14</v>
      </c>
      <c r="BF68" s="10" t="n">
        <v>13</v>
      </c>
      <c r="BG68" s="10" t="n">
        <v>14</v>
      </c>
      <c r="BH68" s="10" t="n">
        <v>14</v>
      </c>
      <c r="BI68" s="10" t="n">
        <v>12</v>
      </c>
      <c r="BJ68" s="10" t="n">
        <v>14</v>
      </c>
      <c r="BK68" s="10" t="n">
        <v>14</v>
      </c>
      <c r="BL68" s="10" t="n">
        <v>14</v>
      </c>
      <c r="BM68" s="10" t="n">
        <v>14</v>
      </c>
      <c r="BN68" s="10" t="n">
        <v>13</v>
      </c>
      <c r="BO68" s="10" t="n">
        <v>14</v>
      </c>
      <c r="BP68" s="10" t="n">
        <v>14</v>
      </c>
      <c r="BQ68" s="10" t="n">
        <v>14</v>
      </c>
      <c r="BR68" s="10" t="n">
        <v>0</v>
      </c>
      <c r="BS68" s="10" t="n">
        <v>0</v>
      </c>
      <c r="BT68" s="10" t="n">
        <v>0</v>
      </c>
      <c r="BU68" s="10" t="n">
        <v>0</v>
      </c>
      <c r="BV68" s="10" t="n">
        <v>0</v>
      </c>
      <c r="BW68" s="10" t="n">
        <v>0</v>
      </c>
      <c r="BX68" s="10" t="n">
        <v>0</v>
      </c>
      <c r="BY68" s="10" t="n">
        <v>0</v>
      </c>
      <c r="BZ68" s="10" t="n">
        <v>0</v>
      </c>
      <c r="CA68" s="10" t="n">
        <v>0</v>
      </c>
      <c r="CB68" s="47" t="inlineStr">
        <is>
          <t xml:space="preserve"> </t>
        </is>
      </c>
      <c r="CC68" s="10" t="inlineStr">
        <is>
          <t xml:space="preserve"> </t>
        </is>
      </c>
      <c r="CD68" s="10" t="inlineStr">
        <is>
          <t xml:space="preserve"> </t>
        </is>
      </c>
      <c r="CE68" s="10" t="inlineStr">
        <is>
          <t xml:space="preserve"> </t>
        </is>
      </c>
      <c r="CF68" s="10" t="inlineStr">
        <is>
          <t xml:space="preserve"> </t>
        </is>
      </c>
      <c r="CG68" s="10" t="inlineStr">
        <is>
          <t xml:space="preserve"> </t>
        </is>
      </c>
      <c r="CH68" s="10" t="inlineStr">
        <is>
          <t xml:space="preserve"> </t>
        </is>
      </c>
      <c r="CI68" s="10" t="inlineStr">
        <is>
          <t xml:space="preserve"> </t>
        </is>
      </c>
      <c r="CJ68" s="10" t="inlineStr">
        <is>
          <t xml:space="preserve"> </t>
        </is>
      </c>
      <c r="CK68" s="10" t="inlineStr">
        <is>
          <t xml:space="preserve"> </t>
        </is>
      </c>
      <c r="CL68" s="10" t="inlineStr">
        <is>
          <t xml:space="preserve"> </t>
        </is>
      </c>
    </row>
    <row r="69">
      <c r="A69" s="8" t="inlineStr">
        <is>
          <t>Anzahl Tore</t>
        </is>
      </c>
      <c r="B69" s="8" t="inlineStr">
        <is>
          <t xml:space="preserve"> </t>
        </is>
      </c>
      <c r="C69" s="9" t="inlineStr">
        <is>
          <t xml:space="preserve"> </t>
        </is>
      </c>
      <c r="D69" s="8" t="n">
        <v>0</v>
      </c>
      <c r="E69" s="8" t="n">
        <v>0</v>
      </c>
      <c r="F69" s="8" t="n">
        <v>3</v>
      </c>
      <c r="G69" s="8" t="n">
        <v>3</v>
      </c>
      <c r="H69" s="8" t="n">
        <v>2</v>
      </c>
      <c r="I69" s="8" t="n">
        <v>2</v>
      </c>
      <c r="J69" s="8" t="n">
        <v>0</v>
      </c>
      <c r="K69" s="8" t="n">
        <v>0</v>
      </c>
      <c r="L69" s="8" t="n">
        <v>0</v>
      </c>
      <c r="M69" s="8" t="n">
        <v>0</v>
      </c>
      <c r="N69" s="8" t="n">
        <v>0</v>
      </c>
      <c r="O69" s="8" t="n">
        <v>0</v>
      </c>
      <c r="P69" s="8" t="n">
        <v>0</v>
      </c>
      <c r="Q69" s="8" t="n">
        <v>0</v>
      </c>
      <c r="R69" s="8" t="n">
        <v>3</v>
      </c>
      <c r="S69" s="8" t="n">
        <v>2</v>
      </c>
      <c r="T69" s="8" t="n">
        <v>2</v>
      </c>
      <c r="U69" s="8" t="n">
        <v>5</v>
      </c>
      <c r="V69" s="8" t="n">
        <v>3</v>
      </c>
      <c r="W69" s="8" t="inlineStr">
        <is>
          <t xml:space="preserve"> </t>
        </is>
      </c>
      <c r="X69" s="48" t="n">
        <v>0</v>
      </c>
      <c r="Y69" s="8" t="n">
        <v>0</v>
      </c>
      <c r="Z69" s="8" t="n">
        <v>3</v>
      </c>
      <c r="AA69" s="8" t="n">
        <v>0</v>
      </c>
      <c r="AB69" s="8" t="n">
        <v>1</v>
      </c>
      <c r="AC69" s="8" t="n">
        <v>7</v>
      </c>
      <c r="AD69" s="8" t="n">
        <v>1</v>
      </c>
      <c r="AE69" s="8" t="n">
        <v>0</v>
      </c>
      <c r="AF69" s="8" t="n">
        <v>0</v>
      </c>
      <c r="AG69" s="8" t="n">
        <v>2</v>
      </c>
      <c r="AH69" s="8" t="n">
        <v>0</v>
      </c>
      <c r="AI69" s="8" t="n">
        <v>4</v>
      </c>
      <c r="AJ69" s="8" t="n">
        <v>0</v>
      </c>
      <c r="AK69" s="8" t="n">
        <v>0</v>
      </c>
      <c r="AL69" s="8" t="n">
        <v>3</v>
      </c>
      <c r="AM69" s="8" t="n">
        <v>0</v>
      </c>
      <c r="AN69" s="8" t="n">
        <v>7</v>
      </c>
      <c r="AO69" s="8" t="n">
        <v>0</v>
      </c>
      <c r="AP69" s="8" t="n">
        <v>1</v>
      </c>
      <c r="AQ69" s="8" t="n">
        <v>2</v>
      </c>
      <c r="AR69" s="8" t="n">
        <v>3</v>
      </c>
      <c r="AS69" s="8" t="n">
        <v>1</v>
      </c>
      <c r="AT69" s="8" t="n">
        <v>0</v>
      </c>
      <c r="AU69" s="8" t="n">
        <v>0</v>
      </c>
      <c r="AV69" s="8" t="n">
        <v>0</v>
      </c>
      <c r="AW69" s="8" t="n">
        <v>0</v>
      </c>
      <c r="AX69" s="8" t="n">
        <v>0</v>
      </c>
      <c r="AY69" s="8" t="n">
        <v>0</v>
      </c>
      <c r="AZ69" s="8" t="n">
        <v>0</v>
      </c>
      <c r="BA69" s="8" t="n">
        <v>0</v>
      </c>
      <c r="BB69" s="8" t="n">
        <v>0</v>
      </c>
      <c r="BC69" s="8" t="n">
        <v>0</v>
      </c>
      <c r="BD69" s="8" t="n">
        <v>0</v>
      </c>
      <c r="BE69" s="8" t="n">
        <v>3</v>
      </c>
      <c r="BF69" s="8" t="n">
        <v>1</v>
      </c>
      <c r="BG69" s="8" t="n">
        <v>2</v>
      </c>
      <c r="BH69" s="8" t="n">
        <v>2</v>
      </c>
      <c r="BI69" s="8" t="n">
        <v>0</v>
      </c>
      <c r="BJ69" s="8" t="n">
        <v>1</v>
      </c>
      <c r="BK69" s="8" t="n">
        <v>1</v>
      </c>
      <c r="BL69" s="8" t="n">
        <v>3</v>
      </c>
      <c r="BM69" s="8" t="n">
        <v>3</v>
      </c>
      <c r="BN69" s="8" t="n">
        <v>0</v>
      </c>
      <c r="BO69" s="8" t="n">
        <v>0</v>
      </c>
      <c r="BP69" s="8" t="n">
        <v>0</v>
      </c>
      <c r="BQ69" s="8" t="n">
        <v>0</v>
      </c>
      <c r="BR69" s="8" t="n">
        <v>0</v>
      </c>
      <c r="BS69" s="8" t="n">
        <v>0</v>
      </c>
      <c r="BT69" s="8" t="n">
        <v>0</v>
      </c>
      <c r="BU69" s="8" t="n">
        <v>0</v>
      </c>
      <c r="BV69" s="8" t="n">
        <v>0</v>
      </c>
      <c r="BW69" s="8" t="n">
        <v>0</v>
      </c>
      <c r="BX69" s="8" t="n">
        <v>0</v>
      </c>
      <c r="BY69" s="8" t="n">
        <v>0</v>
      </c>
      <c r="BZ69" s="8" t="n">
        <v>0</v>
      </c>
      <c r="CA69" s="8" t="n">
        <v>0</v>
      </c>
      <c r="CB69" s="48" t="inlineStr">
        <is>
          <t xml:space="preserve"> </t>
        </is>
      </c>
      <c r="CC69" s="8" t="inlineStr">
        <is>
          <t xml:space="preserve"> </t>
        </is>
      </c>
      <c r="CD69" s="8" t="inlineStr">
        <is>
          <t xml:space="preserve"> </t>
        </is>
      </c>
      <c r="CE69" s="8" t="n">
        <v>35</v>
      </c>
      <c r="CF69" s="8" t="n">
        <v>15</v>
      </c>
      <c r="CG69" s="8" t="n">
        <v>50</v>
      </c>
      <c r="CH69" s="8" t="inlineStr">
        <is>
          <t xml:space="preserve"> </t>
        </is>
      </c>
      <c r="CI69" s="8" t="n">
        <v>27</v>
      </c>
      <c r="CJ69" s="8" t="inlineStr">
        <is>
          <t xml:space="preserve"> </t>
        </is>
      </c>
      <c r="CK69" s="8" t="n">
        <v>77</v>
      </c>
      <c r="CL69" s="8" t="inlineStr">
        <is>
          <t xml:space="preserve"> </t>
        </is>
      </c>
    </row>
    <row r="72">
      <c r="A72" t="inlineStr">
        <is>
          <t xml:space="preserve"> </t>
        </is>
      </c>
    </row>
    <row r="73">
      <c r="CD73" s="92" t="inlineStr">
        <is>
          <t xml:space="preserve"> </t>
        </is>
      </c>
    </row>
  </sheetData>
  <mergeCells count="8">
    <mergeCell ref="E1:CL1"/>
    <mergeCell ref="R2:W2"/>
    <mergeCell ref="A2:A4"/>
    <mergeCell ref="C2:C4"/>
    <mergeCell ref="X2:CA2"/>
    <mergeCell ref="D2:Q2"/>
    <mergeCell ref="CB2:CL2"/>
    <mergeCell ref="B2: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L75"/>
  <sheetViews>
    <sheetView topLeftCell="A4" workbookViewId="0">
      <selection activeCell="A18" sqref="A18"/>
    </sheetView>
  </sheetViews>
  <sheetFormatPr baseColWidth="10" defaultColWidth="9.140625" defaultRowHeight="12.75"/>
  <cols>
    <col width="18.5703125" bestFit="1" customWidth="1" style="91" min="1" max="1"/>
  </cols>
  <sheetData>
    <row r="1" ht="35.45" customHeight="1" s="91">
      <c r="E1" s="90" t="inlineStr">
        <is>
          <t>Saison 14/15</t>
        </is>
      </c>
    </row>
    <row r="2">
      <c r="A2" s="93" t="inlineStr">
        <is>
          <t>Spieler</t>
        </is>
      </c>
      <c r="B2" s="93" t="n"/>
      <c r="C2" s="95" t="inlineStr">
        <is>
          <t>Spiele bisher</t>
        </is>
      </c>
      <c r="D2" s="92" t="inlineStr">
        <is>
          <t>Freundschaftsspiele</t>
        </is>
      </c>
      <c r="R2" s="92" t="inlineStr">
        <is>
          <t>Pokalspiele</t>
        </is>
      </c>
      <c r="X2" s="98" t="inlineStr">
        <is>
          <t>Punktspiele</t>
        </is>
      </c>
      <c r="CB2" s="98" t="inlineStr">
        <is>
          <t>Anzahl</t>
        </is>
      </c>
    </row>
    <row r="3">
      <c r="C3" s="96" t="n"/>
      <c r="D3" s="92" t="inlineStr">
        <is>
          <t>I</t>
        </is>
      </c>
      <c r="E3" s="92" t="inlineStr">
        <is>
          <t>I</t>
        </is>
      </c>
      <c r="F3" s="92" t="inlineStr">
        <is>
          <t>I</t>
        </is>
      </c>
      <c r="G3" s="92" t="inlineStr">
        <is>
          <t>I</t>
        </is>
      </c>
      <c r="H3" s="92" t="inlineStr">
        <is>
          <t>I</t>
        </is>
      </c>
      <c r="I3" s="92" t="inlineStr">
        <is>
          <t>I</t>
        </is>
      </c>
      <c r="J3" s="92" t="inlineStr">
        <is>
          <t>I</t>
        </is>
      </c>
      <c r="L3" s="92" t="inlineStr">
        <is>
          <t>II</t>
        </is>
      </c>
      <c r="M3" s="92" t="inlineStr">
        <is>
          <t>II</t>
        </is>
      </c>
      <c r="N3" s="92" t="inlineStr">
        <is>
          <t>II</t>
        </is>
      </c>
      <c r="O3" s="92" t="inlineStr">
        <is>
          <t>II</t>
        </is>
      </c>
      <c r="P3" s="92" t="inlineStr">
        <is>
          <t>II</t>
        </is>
      </c>
      <c r="Q3" s="92" t="inlineStr">
        <is>
          <t>II</t>
        </is>
      </c>
      <c r="R3" s="92" t="inlineStr">
        <is>
          <t>II</t>
        </is>
      </c>
      <c r="T3" s="92" t="inlineStr">
        <is>
          <t>I</t>
        </is>
      </c>
      <c r="U3" s="92" t="inlineStr">
        <is>
          <t>II</t>
        </is>
      </c>
      <c r="V3" s="92" t="inlineStr">
        <is>
          <t>II</t>
        </is>
      </c>
      <c r="X3" s="51" t="inlineStr">
        <is>
          <t>I</t>
        </is>
      </c>
      <c r="Y3" s="92" t="inlineStr">
        <is>
          <t>I</t>
        </is>
      </c>
      <c r="Z3" s="92" t="inlineStr">
        <is>
          <t>I</t>
        </is>
      </c>
      <c r="AA3" s="92" t="inlineStr">
        <is>
          <t>I</t>
        </is>
      </c>
      <c r="AB3" s="92" t="inlineStr">
        <is>
          <t>I</t>
        </is>
      </c>
      <c r="AC3" s="92" t="inlineStr">
        <is>
          <t>I</t>
        </is>
      </c>
      <c r="AD3" s="92" t="inlineStr">
        <is>
          <t>I</t>
        </is>
      </c>
      <c r="AE3" s="92" t="inlineStr">
        <is>
          <t>I</t>
        </is>
      </c>
      <c r="AF3" s="92" t="inlineStr">
        <is>
          <t>I</t>
        </is>
      </c>
      <c r="AG3" s="92" t="inlineStr">
        <is>
          <t>I</t>
        </is>
      </c>
      <c r="AH3" s="92" t="inlineStr">
        <is>
          <t>I</t>
        </is>
      </c>
      <c r="AI3" s="92" t="inlineStr">
        <is>
          <t>I</t>
        </is>
      </c>
      <c r="AJ3" s="92" t="inlineStr">
        <is>
          <t>I</t>
        </is>
      </c>
      <c r="AK3" s="92" t="inlineStr">
        <is>
          <t>I</t>
        </is>
      </c>
      <c r="AL3" s="92" t="inlineStr">
        <is>
          <t>I</t>
        </is>
      </c>
      <c r="AM3" s="92" t="inlineStr">
        <is>
          <t>I</t>
        </is>
      </c>
      <c r="AN3" s="92" t="inlineStr">
        <is>
          <t>I</t>
        </is>
      </c>
      <c r="AO3" s="92" t="inlineStr">
        <is>
          <t>I</t>
        </is>
      </c>
      <c r="AP3" s="92" t="inlineStr">
        <is>
          <t>I</t>
        </is>
      </c>
      <c r="AQ3" s="92" t="inlineStr">
        <is>
          <t>I</t>
        </is>
      </c>
      <c r="AR3" s="92" t="inlineStr">
        <is>
          <t>I</t>
        </is>
      </c>
      <c r="AS3" s="92" t="inlineStr">
        <is>
          <t>I</t>
        </is>
      </c>
      <c r="AT3" s="92" t="inlineStr">
        <is>
          <t>I</t>
        </is>
      </c>
      <c r="AU3" s="92" t="inlineStr">
        <is>
          <t>I</t>
        </is>
      </c>
      <c r="AV3" s="92" t="inlineStr">
        <is>
          <t>I</t>
        </is>
      </c>
      <c r="AW3" s="92" t="inlineStr">
        <is>
          <t>I</t>
        </is>
      </c>
      <c r="AX3" s="92" t="inlineStr">
        <is>
          <t>I</t>
        </is>
      </c>
      <c r="AY3" s="92" t="inlineStr">
        <is>
          <t>I</t>
        </is>
      </c>
      <c r="AZ3" s="92" t="inlineStr">
        <is>
          <t>I</t>
        </is>
      </c>
      <c r="BA3" s="92" t="inlineStr">
        <is>
          <t>I</t>
        </is>
      </c>
      <c r="BB3" s="92" t="n"/>
      <c r="BC3" s="92" t="n"/>
      <c r="BD3" s="92" t="n"/>
      <c r="BE3" s="92" t="inlineStr">
        <is>
          <t>II</t>
        </is>
      </c>
      <c r="BF3" s="92" t="inlineStr">
        <is>
          <t>II</t>
        </is>
      </c>
      <c r="BG3" s="92" t="inlineStr">
        <is>
          <t>II</t>
        </is>
      </c>
      <c r="BH3" s="92" t="inlineStr">
        <is>
          <t>II</t>
        </is>
      </c>
      <c r="BI3" s="92" t="inlineStr">
        <is>
          <t>II</t>
        </is>
      </c>
      <c r="BJ3" s="92" t="inlineStr">
        <is>
          <t>II</t>
        </is>
      </c>
      <c r="BK3" s="92" t="inlineStr">
        <is>
          <t>II</t>
        </is>
      </c>
      <c r="BL3" s="92" t="inlineStr">
        <is>
          <t>II</t>
        </is>
      </c>
      <c r="BM3" s="92" t="inlineStr">
        <is>
          <t>II</t>
        </is>
      </c>
      <c r="BN3" s="92" t="inlineStr">
        <is>
          <t>II</t>
        </is>
      </c>
      <c r="BO3" s="92" t="inlineStr">
        <is>
          <t>II</t>
        </is>
      </c>
      <c r="BP3" s="92" t="inlineStr">
        <is>
          <t>II</t>
        </is>
      </c>
      <c r="BQ3" s="92" t="inlineStr">
        <is>
          <t>II</t>
        </is>
      </c>
      <c r="BR3" s="92" t="inlineStr">
        <is>
          <t>II</t>
        </is>
      </c>
      <c r="BS3" s="92" t="inlineStr">
        <is>
          <t>II</t>
        </is>
      </c>
      <c r="BT3" s="92" t="inlineStr">
        <is>
          <t>II</t>
        </is>
      </c>
      <c r="BU3" s="92" t="inlineStr">
        <is>
          <t>II</t>
        </is>
      </c>
      <c r="BV3" s="92" t="inlineStr">
        <is>
          <t>II</t>
        </is>
      </c>
      <c r="BW3" s="92" t="inlineStr">
        <is>
          <t>II</t>
        </is>
      </c>
      <c r="BX3" s="92" t="inlineStr">
        <is>
          <t>II</t>
        </is>
      </c>
      <c r="BY3" s="92" t="inlineStr">
        <is>
          <t>II</t>
        </is>
      </c>
      <c r="BZ3" s="92" t="inlineStr">
        <is>
          <t>II</t>
        </is>
      </c>
      <c r="CB3" s="98" t="inlineStr">
        <is>
          <t xml:space="preserve"> </t>
        </is>
      </c>
      <c r="CC3" s="42" t="n"/>
      <c r="CD3" s="42" t="n"/>
      <c r="CE3" s="42" t="n"/>
      <c r="CF3" s="42" t="n"/>
      <c r="CG3" s="42" t="n"/>
      <c r="CH3" s="42" t="n"/>
      <c r="CI3" s="42" t="n"/>
    </row>
    <row r="4" ht="331.9" customHeight="1" s="91">
      <c r="A4" s="94" t="n"/>
      <c r="B4" s="94" t="n"/>
      <c r="C4" s="97" t="n"/>
      <c r="D4" s="52" t="inlineStr">
        <is>
          <t>Fr, 18.07.14 SGM Locherhof/Mariazell : FC Neuhausen</t>
        </is>
      </c>
      <c r="E4" s="52" t="inlineStr">
        <is>
          <t>Mi, 23.07.14 SGM Locherhof/Mariazell : SV Schapbach</t>
        </is>
      </c>
      <c r="F4" s="52" t="inlineStr">
        <is>
          <t>Sa, 09.08.14 SGM Locherhof/Mariazell : FV Tennenbronn 2</t>
        </is>
      </c>
      <c r="G4" s="53" t="inlineStr">
        <is>
          <t xml:space="preserve"> SGM Locherhof/Mariazell : FV Tennenbronn (abgesagt)</t>
        </is>
      </c>
      <c r="H4" s="52" t="inlineStr">
        <is>
          <t>Sa, 21.02.15 SV Schapbach : SGM Locherhof/Mariazell</t>
        </is>
      </c>
      <c r="I4" s="52" t="inlineStr">
        <is>
          <t>Mi, 04.03.15 FV Tennenbronn 2 : SGM Locherhof/Mariazell</t>
        </is>
      </c>
      <c r="J4" s="52" t="inlineStr">
        <is>
          <t>Di, 10.03.15 FC Kirnbach : SGM Locherhof/Mariazell</t>
        </is>
      </c>
      <c r="L4" s="52" t="inlineStr">
        <is>
          <t>So, 03.08.14 SGM Locherhof/Mariazell II : FC Epfendorf II</t>
        </is>
      </c>
      <c r="M4" s="52" t="inlineStr">
        <is>
          <t>So, 10.08.14 SGM Locherhof/Mariazell II : Spvgg Bochingen II</t>
        </is>
      </c>
      <c r="N4" s="52" t="inlineStr">
        <is>
          <t>Mi, 13.08.14 SGM Locherhof/Mariazell II : FV Kickers Lauterbach II</t>
        </is>
      </c>
      <c r="O4" s="52" t="inlineStr">
        <is>
          <t>So, 31.08.14 SGM Locherhof/Mariazell II : SV Horgen II</t>
        </is>
      </c>
      <c r="P4" s="53" t="inlineStr">
        <is>
          <t>So, 22.02.15 SGM Locherhof/Mariazell II : FC Epfendorf II (abg.)</t>
        </is>
      </c>
      <c r="Q4" s="45" t="inlineStr">
        <is>
          <t>So, 08.03.15 FV Kickers Lauterbach II : SGM Locherhof/Mariazell II</t>
        </is>
      </c>
      <c r="R4" s="53" t="inlineStr">
        <is>
          <t>So, 15.03.15 SGM Locherhof/Mariazell II : Spvgg Bochingen II (abg.)</t>
        </is>
      </c>
      <c r="S4" s="43" t="inlineStr">
        <is>
          <t xml:space="preserve"> </t>
        </is>
      </c>
      <c r="T4" s="52" t="inlineStr">
        <is>
          <t>Sa, 16.08.14 SGM Locherhof/Mariazell : SV Villingendorf</t>
        </is>
      </c>
      <c r="U4" s="52" t="inlineStr">
        <is>
          <t>Mi, 03.09.14 SGM Locherhof/Mariazell II : SV Fridingen</t>
        </is>
      </c>
      <c r="V4" s="52" t="inlineStr">
        <is>
          <t>Mi, 08.10.14 SGM Locherhof/Mariazell II : SGM Aichhalden/Rötenberg</t>
        </is>
      </c>
      <c r="W4" s="54" t="inlineStr">
        <is>
          <t xml:space="preserve"> </t>
        </is>
      </c>
      <c r="X4" s="55" t="inlineStr">
        <is>
          <t>So, 24.08.14 SGM Locherhof/Mariazell : SV Horgen</t>
        </is>
      </c>
      <c r="Y4" s="45" t="inlineStr">
        <is>
          <t>Mi, 27.08.14 SV Irslingen : SGM Locherhof/Mariazell</t>
        </is>
      </c>
      <c r="Z4" s="45" t="inlineStr">
        <is>
          <t>So, 31.08.14 SGM Locherhof/Mariazell : SGM Aichhalden/Rötenberg</t>
        </is>
      </c>
      <c r="AA4" s="45" t="inlineStr">
        <is>
          <t>Sa, 06.09.14 SV Beffendorf : SGM Locherhof/Mariazell</t>
        </is>
      </c>
      <c r="AB4" s="45" t="inlineStr">
        <is>
          <t>So, 14.09.14 SGM Locherhof/Mariazell : SV Herrenzimmern</t>
        </is>
      </c>
      <c r="AC4" s="45" t="inlineStr">
        <is>
          <t>Do, 18.09.14 FSV Zepfenhan : SGM Locherhof/Mariazell</t>
        </is>
      </c>
      <c r="AD4" s="45" t="inlineStr">
        <is>
          <t>So, 21.09.14 SGM Locherhof/Mariazell : FC Hardt</t>
        </is>
      </c>
      <c r="AE4" s="45" t="inlineStr">
        <is>
          <t>So, 28.09.14 SV Zimmern o.R. II : SGM Locherhof/Mariazell</t>
        </is>
      </c>
      <c r="AF4" s="45" t="inlineStr">
        <is>
          <t>So, 05.10.14 FV Kickers Lauterbach : SGM Locherhof/Mariazell</t>
        </is>
      </c>
      <c r="AG4" s="45" t="inlineStr">
        <is>
          <t>So, 12.10.14 SGM Locherhof/Mariazell : FC Dietingen</t>
        </is>
      </c>
      <c r="AH4" s="45" t="inlineStr">
        <is>
          <t>So, 19.10.14 SC Lindenhof : SGM Locherhof/Mariazell</t>
        </is>
      </c>
      <c r="AI4" s="45" t="inlineStr">
        <is>
          <t>So, 26.10.14 SGM Locherhof/Mariazell : FV 08 Rottweil II</t>
        </is>
      </c>
      <c r="AJ4" s="45" t="inlineStr">
        <is>
          <t>So, 02.11.14 TG Rottweil-Altstadt : SGM Locherhof/Mariazell</t>
        </is>
      </c>
      <c r="AK4" s="45" t="inlineStr">
        <is>
          <t>So, 09.11.14 SGM Locherhof/Mariazell : SV Winzeln</t>
        </is>
      </c>
      <c r="AL4" s="45" t="inlineStr">
        <is>
          <t>So, 16.11.14 Spvgg Stetten-Lackendorf : SGM Locherhof/Mariazell</t>
        </is>
      </c>
      <c r="AM4" s="45" t="inlineStr">
        <is>
          <t>Fr, 21.11.14 SV Horgen : SGM Locherhof/Mariazell</t>
        </is>
      </c>
      <c r="AN4" s="45" t="inlineStr">
        <is>
          <t>So, 30.11.14 SGM Locherhof/Mariazell : SV Irslingen</t>
        </is>
      </c>
      <c r="AO4" s="45" t="inlineStr">
        <is>
          <t>So, 15.03.15 SGM Aichhalden/Rötenberg : SGM Locherhof/Mariazell</t>
        </is>
      </c>
      <c r="AP4" s="45" t="inlineStr">
        <is>
          <t>So, 22.03.15 SGM Locherhof/Mariazell : SV Beffendorf</t>
        </is>
      </c>
      <c r="AQ4" s="45" t="inlineStr">
        <is>
          <t>So, 29.03.15 SV Herrenzimmern : SGM Locherhof/Mariazell</t>
        </is>
      </c>
      <c r="AR4" s="45" t="inlineStr">
        <is>
          <t>Sa, 04.04.15  SGM Locherhof/Mariazell : FSV Zepfenhan</t>
        </is>
      </c>
      <c r="AS4" s="45" t="inlineStr">
        <is>
          <t>So, 12.04.15  FC Hardt : SGM Locherhof/Mariazell</t>
        </is>
      </c>
      <c r="AT4" s="45" t="inlineStr">
        <is>
          <t>So, 19.04.15 SGM Locherhof/Mariazell : SV Zimmern o.R. II</t>
        </is>
      </c>
      <c r="AU4" s="45" t="inlineStr">
        <is>
          <t>So, 26.04.15 SGM Locherhof/Mariazell : FV Kickers Lauterbach</t>
        </is>
      </c>
      <c r="AV4" s="45" t="inlineStr">
        <is>
          <t>So, 03.05.15  FC Dietingen : SGM Locherhof/Mariazell</t>
        </is>
      </c>
      <c r="AW4" s="45" t="inlineStr">
        <is>
          <t>So, 10.05.15 SGM Locherhof/Mariazell : SC Lindenhof</t>
        </is>
      </c>
      <c r="AX4" s="45" t="inlineStr">
        <is>
          <t>So, 17.05.15 FV 08 Rottweil II : SGM Locherhof/Mariazell</t>
        </is>
      </c>
      <c r="AY4" s="45" t="inlineStr">
        <is>
          <t>Sa, 23.05.15 SGM Locherhof/Mariazell : TG Rottweil-Altstadt</t>
        </is>
      </c>
      <c r="AZ4" s="45" t="inlineStr">
        <is>
          <t>So, 31.05.15 SV Winzeln : SGM Locherhof/Mariazell</t>
        </is>
      </c>
      <c r="BA4" s="45" t="inlineStr">
        <is>
          <t>So, 07.06.15 SGM Locherhof/Mariazell : Spvgg Stetten-Lackendorf</t>
        </is>
      </c>
      <c r="BB4" s="45" t="n"/>
      <c r="BC4" s="45" t="n"/>
      <c r="BD4" s="45" t="n"/>
      <c r="BE4" s="45" t="inlineStr">
        <is>
          <t>So, 07.09.14 SGM Locherhof/Mariazell II : SV Herrenzimmern II</t>
        </is>
      </c>
      <c r="BF4" s="45" t="inlineStr">
        <is>
          <t>So, 14.09.14 SV Winzeln II : SGM Locherhof/Mariazell II</t>
        </is>
      </c>
      <c r="BG4" s="45" t="inlineStr">
        <is>
          <t>So, 21.09.14 SGM Locherhof/Mariazell II : FC Hardt II</t>
        </is>
      </c>
      <c r="BH4" s="45" t="inlineStr">
        <is>
          <t>So, 28.09.14 Spvgg Stetten-Lackendorf II : SGM Locherhof/Mariazell II</t>
        </is>
      </c>
      <c r="BI4" s="45" t="inlineStr">
        <is>
          <t>So, 05.10.14 SGM Locherhof/Mariazell II : SV Sulgen II</t>
        </is>
      </c>
      <c r="BJ4" s="45" t="inlineStr">
        <is>
          <t>So, 12.10.14 FC Dunningen II : SGM Locherhof/Mariazell II</t>
        </is>
      </c>
      <c r="BK4" s="45" t="inlineStr">
        <is>
          <t>So, 19.10.14 SC Lindenhof II : SGM Locherhof/Mariazell II</t>
        </is>
      </c>
      <c r="BL4" s="45" t="inlineStr">
        <is>
          <t>Sa, 25.10.14 SGM Beffendorf/Bösingen : SGM Locherhof/Mariazell II</t>
        </is>
      </c>
      <c r="BM4" s="45" t="inlineStr">
        <is>
          <t>So, 02.11.14 SGM Locherhof/Mariazell II : Spvgg Oberndorf II</t>
        </is>
      </c>
      <c r="BN4" s="45" t="inlineStr">
        <is>
          <t>So, 09.11.14 SGM Locherhof/Mariazell II : Türk SV Schramberg</t>
        </is>
      </c>
      <c r="BO4" s="45" t="inlineStr">
        <is>
          <t>So, 16.11.14 SGM Aichhalden/Rötenberg III : SGM Locherhof/Mariazell II</t>
        </is>
      </c>
      <c r="BP4" s="45" t="inlineStr">
        <is>
          <t>Sa, 22.11.14 SV Herrenzimmern II : SGM Locherhof/Mariazell II</t>
        </is>
      </c>
      <c r="BQ4" s="45" t="inlineStr">
        <is>
          <t>So, 22.03.15 SGM Locherhof/Mariazell II : SV Winzeln II</t>
        </is>
      </c>
      <c r="BR4" s="45" t="inlineStr">
        <is>
          <t>So, 29.03.15 FC Hardt II : SGM Locherhof/Mariazell II</t>
        </is>
      </c>
      <c r="BS4" s="45" t="inlineStr">
        <is>
          <t>So, 12.04.15 SGM Locherhof/Mariazell II : Spvgg Stetten-Lackendorf II</t>
        </is>
      </c>
      <c r="BT4" s="45" t="inlineStr">
        <is>
          <t>So, 19.04.15 SV Sulgen II : SGM Locherhof/Mariazell II</t>
        </is>
      </c>
      <c r="BU4" s="45" t="inlineStr">
        <is>
          <t>So, 26.04.15 SGM Locherhof/Mariazell II : FC Dunningen II</t>
        </is>
      </c>
      <c r="BV4" s="45" t="inlineStr">
        <is>
          <t>So, 03.05.15 SGM Locherhof/Mariazell II : SC Lindenhof II</t>
        </is>
      </c>
      <c r="BW4" s="45" t="inlineStr">
        <is>
          <t>Mi, 20.05.15 SGM Locherhof/Mariazell II : SGM Beffendorf/Bösingen</t>
        </is>
      </c>
      <c r="BX4" s="45" t="inlineStr">
        <is>
          <t>So, 17.05.15 Spvgg Oberndorf II : SGM Locherhof/Mariazell II</t>
        </is>
      </c>
      <c r="BY4" s="45" t="inlineStr">
        <is>
          <t>So, 31.05.15 Türk SV Schramberg : SGM Locherhof/Mariazell II</t>
        </is>
      </c>
      <c r="BZ4" s="45" t="inlineStr">
        <is>
          <t>So, 07.06.15 SGM Locherhof/Mariazell II : SGM Aichhalden/Rötenberg III</t>
        </is>
      </c>
      <c r="CA4" s="45" t="n"/>
      <c r="CB4" s="46" t="inlineStr">
        <is>
          <t>Punktspiele I</t>
        </is>
      </c>
      <c r="CC4" s="43" t="inlineStr">
        <is>
          <t>Punktspiele II</t>
        </is>
      </c>
      <c r="CD4" s="43" t="inlineStr">
        <is>
          <t>Punktspiele I+II</t>
        </is>
      </c>
      <c r="CE4" s="43" t="inlineStr">
        <is>
          <t>Tore Punktspiele I</t>
        </is>
      </c>
      <c r="CF4" s="43" t="inlineStr">
        <is>
          <t>Tore Punktspiele II</t>
        </is>
      </c>
      <c r="CG4" s="43" t="inlineStr">
        <is>
          <t>Tore Punktspiele I+II</t>
        </is>
      </c>
      <c r="CH4" s="43" t="inlineStr">
        <is>
          <t>Freundschaftssp.</t>
        </is>
      </c>
      <c r="CI4" s="43" t="inlineStr">
        <is>
          <t>Tore Freundschaftssp.</t>
        </is>
      </c>
      <c r="CJ4" s="43" t="inlineStr">
        <is>
          <t>Spiele</t>
        </is>
      </c>
      <c r="CK4" s="43" t="inlineStr">
        <is>
          <t>Tore</t>
        </is>
      </c>
      <c r="CL4" s="6" t="inlineStr">
        <is>
          <t>Spiele gesamt</t>
        </is>
      </c>
    </row>
    <row r="5">
      <c r="A5" t="inlineStr">
        <is>
          <t>Aichele Thomas</t>
        </is>
      </c>
      <c r="B5" t="inlineStr">
        <is>
          <t>L</t>
        </is>
      </c>
      <c r="C5" t="n">
        <v>131</v>
      </c>
      <c r="X5" s="98" t="inlineStr">
        <is>
          <t xml:space="preserve"> </t>
        </is>
      </c>
      <c r="CB5" s="98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s="7" t="n">
        <v>131</v>
      </c>
    </row>
    <row r="6">
      <c r="A6" t="inlineStr">
        <is>
          <t>Auber Armin</t>
        </is>
      </c>
      <c r="B6" t="inlineStr">
        <is>
          <t>M</t>
        </is>
      </c>
      <c r="C6" t="n">
        <v>14</v>
      </c>
      <c r="X6" s="98" t="inlineStr">
        <is>
          <t xml:space="preserve"> </t>
        </is>
      </c>
      <c r="AT6" t="n">
        <v>0</v>
      </c>
      <c r="BE6" t="n">
        <v>0</v>
      </c>
      <c r="BG6" t="n">
        <v>0</v>
      </c>
      <c r="BI6" t="n">
        <v>0</v>
      </c>
      <c r="BJ6" t="n">
        <v>0</v>
      </c>
      <c r="BQ6" t="n">
        <v>1</v>
      </c>
      <c r="BR6" t="n">
        <v>0</v>
      </c>
      <c r="BS6" t="n">
        <v>0</v>
      </c>
      <c r="BT6" t="n">
        <v>0</v>
      </c>
      <c r="CB6" s="98" t="n">
        <v>1</v>
      </c>
      <c r="CC6" t="n">
        <v>8</v>
      </c>
      <c r="CD6" t="n">
        <v>9</v>
      </c>
      <c r="CE6" t="n">
        <v>0</v>
      </c>
      <c r="CF6" t="n">
        <v>1</v>
      </c>
      <c r="CG6" t="n">
        <v>1</v>
      </c>
      <c r="CH6" t="n">
        <v>0</v>
      </c>
      <c r="CI6" t="n">
        <v>0</v>
      </c>
      <c r="CJ6" t="n">
        <v>9</v>
      </c>
      <c r="CK6" t="n">
        <v>1</v>
      </c>
      <c r="CL6" s="7" t="n">
        <v>23</v>
      </c>
    </row>
    <row r="7">
      <c r="A7" t="inlineStr">
        <is>
          <t>Auber Axel</t>
        </is>
      </c>
      <c r="B7" t="inlineStr">
        <is>
          <t>M</t>
        </is>
      </c>
      <c r="C7" t="n">
        <v>382</v>
      </c>
      <c r="X7" s="98" t="inlineStr">
        <is>
          <t xml:space="preserve"> </t>
        </is>
      </c>
      <c r="CB7" s="98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s="7" t="n">
        <v>382</v>
      </c>
    </row>
    <row r="8">
      <c r="A8" t="inlineStr">
        <is>
          <t>Augstein M</t>
        </is>
      </c>
      <c r="B8" t="inlineStr">
        <is>
          <t>L</t>
        </is>
      </c>
      <c r="C8" s="56" t="n">
        <v>265</v>
      </c>
      <c r="X8" s="98" t="inlineStr">
        <is>
          <t xml:space="preserve"> </t>
        </is>
      </c>
      <c r="BZ8" t="n">
        <v>0</v>
      </c>
      <c r="CB8" s="9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s="7" t="n">
        <v>266</v>
      </c>
    </row>
    <row r="9">
      <c r="A9" t="inlineStr">
        <is>
          <t>Bannert Dirk</t>
        </is>
      </c>
      <c r="B9" t="inlineStr">
        <is>
          <t>L</t>
        </is>
      </c>
      <c r="C9" s="56" t="n">
        <v>273</v>
      </c>
      <c r="X9" s="98" t="inlineStr">
        <is>
          <t xml:space="preserve"> </t>
        </is>
      </c>
      <c r="CB9" s="98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s="7" t="n">
        <v>273</v>
      </c>
    </row>
    <row r="10">
      <c r="A10" t="inlineStr">
        <is>
          <t>Bekir Kilic</t>
        </is>
      </c>
      <c r="B10" t="inlineStr">
        <is>
          <t>L</t>
        </is>
      </c>
      <c r="C10" s="56" t="n">
        <v>137</v>
      </c>
      <c r="X10" s="98" t="inlineStr">
        <is>
          <t xml:space="preserve"> </t>
        </is>
      </c>
      <c r="CB10" s="98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s="7" t="n">
        <v>137</v>
      </c>
    </row>
    <row r="11">
      <c r="A11" t="inlineStr">
        <is>
          <t>Benner, Florian</t>
        </is>
      </c>
      <c r="B11" t="inlineStr">
        <is>
          <t>M</t>
        </is>
      </c>
      <c r="C11" t="n">
        <v>37</v>
      </c>
      <c r="J11" t="n">
        <v>0</v>
      </c>
      <c r="L11" t="n">
        <v>0</v>
      </c>
      <c r="M11" t="n">
        <v>0</v>
      </c>
      <c r="Q11" t="n">
        <v>0</v>
      </c>
      <c r="X11" s="98" t="inlineStr">
        <is>
          <t xml:space="preserve"> </t>
        </is>
      </c>
      <c r="AC11" t="n">
        <v>0</v>
      </c>
      <c r="AN11" t="n">
        <v>0</v>
      </c>
      <c r="BE11" t="n">
        <v>0</v>
      </c>
      <c r="BF11" t="n">
        <v>0</v>
      </c>
      <c r="BG11" t="n">
        <v>1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U11" t="n">
        <v>0</v>
      </c>
      <c r="BV11" t="n">
        <v>0</v>
      </c>
      <c r="BW11" t="n">
        <v>0</v>
      </c>
      <c r="BX11" t="n">
        <v>0</v>
      </c>
      <c r="CB11" s="98" t="n">
        <v>2</v>
      </c>
      <c r="CC11" t="n">
        <v>16</v>
      </c>
      <c r="CD11" t="n">
        <v>18</v>
      </c>
      <c r="CE11" t="n">
        <v>0</v>
      </c>
      <c r="CF11" t="n">
        <v>3</v>
      </c>
      <c r="CG11" t="n">
        <v>3</v>
      </c>
      <c r="CH11" t="n">
        <v>4</v>
      </c>
      <c r="CI11" t="n">
        <v>0</v>
      </c>
      <c r="CJ11" t="n">
        <v>22</v>
      </c>
      <c r="CK11" t="n">
        <v>3</v>
      </c>
      <c r="CL11" s="7" t="n">
        <v>59</v>
      </c>
    </row>
    <row r="12">
      <c r="A12" t="inlineStr">
        <is>
          <t>Binnig Andre</t>
        </is>
      </c>
      <c r="B12" t="inlineStr">
        <is>
          <t>L</t>
        </is>
      </c>
      <c r="C12" t="n">
        <v>68</v>
      </c>
      <c r="D12" t="n">
        <v>0</v>
      </c>
      <c r="E12" t="n">
        <v>0</v>
      </c>
      <c r="F12" t="n">
        <v>0</v>
      </c>
      <c r="H12" t="n">
        <v>0</v>
      </c>
      <c r="L12" t="n">
        <v>0</v>
      </c>
      <c r="N12" t="n">
        <v>0</v>
      </c>
      <c r="T12" t="n">
        <v>0</v>
      </c>
      <c r="V12" t="n">
        <v>0</v>
      </c>
      <c r="X12" s="98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M12" t="n">
        <v>0</v>
      </c>
      <c r="AN12" t="n">
        <v>0</v>
      </c>
      <c r="AY12" t="n">
        <v>0</v>
      </c>
      <c r="BA12" t="n">
        <v>0</v>
      </c>
      <c r="BH12" t="n">
        <v>0</v>
      </c>
      <c r="BI12" t="n">
        <v>0</v>
      </c>
      <c r="BJ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U12" t="n">
        <v>0</v>
      </c>
      <c r="BV12" t="n">
        <v>1</v>
      </c>
      <c r="BW12" t="n">
        <v>0</v>
      </c>
      <c r="BX12" t="n">
        <v>0</v>
      </c>
      <c r="BY12" t="n">
        <v>0</v>
      </c>
      <c r="CB12" s="98" t="n">
        <v>11</v>
      </c>
      <c r="CC12" t="n">
        <v>13</v>
      </c>
      <c r="CD12" t="n">
        <v>24</v>
      </c>
      <c r="CE12" t="n">
        <v>0</v>
      </c>
      <c r="CF12" t="n">
        <v>1</v>
      </c>
      <c r="CG12" t="n">
        <v>1</v>
      </c>
      <c r="CH12" t="n">
        <v>8</v>
      </c>
      <c r="CI12" t="n">
        <v>0</v>
      </c>
      <c r="CJ12" t="n">
        <v>32</v>
      </c>
      <c r="CK12" t="n">
        <v>1</v>
      </c>
      <c r="CL12" s="7" t="n">
        <v>100</v>
      </c>
    </row>
    <row r="13">
      <c r="A13" t="inlineStr">
        <is>
          <t>Bosch M.</t>
        </is>
      </c>
      <c r="B13" t="inlineStr">
        <is>
          <t>L</t>
        </is>
      </c>
      <c r="C13" s="56" t="n">
        <v>391</v>
      </c>
      <c r="D13" t="n">
        <v>0</v>
      </c>
      <c r="E13" t="n">
        <v>0</v>
      </c>
      <c r="F13" t="n">
        <v>0</v>
      </c>
      <c r="H13" t="n">
        <v>0</v>
      </c>
      <c r="I13" t="n">
        <v>0</v>
      </c>
      <c r="J13" t="n">
        <v>0</v>
      </c>
      <c r="L13" s="92" t="n">
        <v>0</v>
      </c>
      <c r="M13" t="n">
        <v>0</v>
      </c>
      <c r="X13" s="98" t="inlineStr">
        <is>
          <t xml:space="preserve"> </t>
        </is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O13" t="n">
        <v>0</v>
      </c>
      <c r="AP13" t="n">
        <v>0</v>
      </c>
      <c r="AQ13" t="n">
        <v>0</v>
      </c>
      <c r="AR13" t="n">
        <v>0</v>
      </c>
      <c r="AW13" t="n">
        <v>0</v>
      </c>
      <c r="BW13" t="n">
        <v>0</v>
      </c>
      <c r="BY13" t="n">
        <v>0</v>
      </c>
      <c r="BZ13" t="n">
        <v>0</v>
      </c>
      <c r="CB13" s="98" t="n">
        <v>18</v>
      </c>
      <c r="CC13" t="n">
        <v>3</v>
      </c>
      <c r="CD13" t="n">
        <v>21</v>
      </c>
      <c r="CE13" t="n">
        <v>0</v>
      </c>
      <c r="CF13" t="n">
        <v>0</v>
      </c>
      <c r="CG13" t="n">
        <v>0</v>
      </c>
      <c r="CH13" t="n">
        <v>8</v>
      </c>
      <c r="CI13" t="n">
        <v>0</v>
      </c>
      <c r="CJ13" t="n">
        <v>29</v>
      </c>
      <c r="CK13" t="n">
        <v>0</v>
      </c>
      <c r="CL13" s="7" t="n">
        <v>420</v>
      </c>
    </row>
    <row r="14">
      <c r="A14" t="inlineStr">
        <is>
          <t>Broghammer Michael</t>
        </is>
      </c>
      <c r="B14" t="inlineStr">
        <is>
          <t>M</t>
        </is>
      </c>
      <c r="C14" t="n">
        <v>25</v>
      </c>
      <c r="X14" s="98" t="inlineStr">
        <is>
          <t xml:space="preserve"> </t>
        </is>
      </c>
      <c r="CB14" s="98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s="7" t="n">
        <v>25</v>
      </c>
    </row>
    <row r="15">
      <c r="A15" t="inlineStr">
        <is>
          <t>Coraci Davide</t>
        </is>
      </c>
      <c r="B15" t="inlineStr">
        <is>
          <t>L</t>
        </is>
      </c>
      <c r="C15" t="n">
        <v>25</v>
      </c>
      <c r="L15" t="n">
        <v>0</v>
      </c>
      <c r="M15" t="n">
        <v>0</v>
      </c>
      <c r="O15" t="n">
        <v>2</v>
      </c>
      <c r="Q15" t="n">
        <v>0</v>
      </c>
      <c r="T15" t="n">
        <v>0</v>
      </c>
      <c r="V15" t="n">
        <v>1</v>
      </c>
      <c r="X15" s="98" t="inlineStr">
        <is>
          <t xml:space="preserve"> </t>
        </is>
      </c>
      <c r="BE15" t="n">
        <v>0</v>
      </c>
      <c r="BF15" t="n">
        <v>0</v>
      </c>
      <c r="BH15" t="n">
        <v>0</v>
      </c>
      <c r="BI15" t="n">
        <v>0</v>
      </c>
      <c r="BK15" t="n">
        <v>1</v>
      </c>
      <c r="BL15" t="n">
        <v>0</v>
      </c>
      <c r="BM15" t="n">
        <v>0</v>
      </c>
      <c r="BN15" t="n">
        <v>0</v>
      </c>
      <c r="BP15" t="n">
        <v>0</v>
      </c>
      <c r="BZ15" t="n">
        <v>0</v>
      </c>
      <c r="CB15" s="98" t="n">
        <v>0</v>
      </c>
      <c r="CC15" t="n">
        <v>10</v>
      </c>
      <c r="CD15" t="n">
        <v>10</v>
      </c>
      <c r="CE15" t="n">
        <v>0</v>
      </c>
      <c r="CF15" t="n">
        <v>1</v>
      </c>
      <c r="CG15" t="n">
        <v>1</v>
      </c>
      <c r="CH15" t="n">
        <v>6</v>
      </c>
      <c r="CI15" t="n">
        <v>3</v>
      </c>
      <c r="CJ15" t="n">
        <v>16</v>
      </c>
      <c r="CK15" t="n">
        <v>4</v>
      </c>
      <c r="CL15" s="7" t="n">
        <v>41</v>
      </c>
    </row>
    <row r="16">
      <c r="A16" t="inlineStr">
        <is>
          <t>Czerny A</t>
        </is>
      </c>
      <c r="B16" t="inlineStr">
        <is>
          <t>M</t>
        </is>
      </c>
      <c r="C16" t="n">
        <v>218</v>
      </c>
      <c r="V16" t="n">
        <v>0</v>
      </c>
      <c r="X16" s="98" t="inlineStr">
        <is>
          <t xml:space="preserve"> </t>
        </is>
      </c>
      <c r="BF16" t="n">
        <v>0</v>
      </c>
      <c r="BJ16" t="n">
        <v>0</v>
      </c>
      <c r="BO16" t="n">
        <v>0</v>
      </c>
      <c r="BS16" t="n">
        <v>0</v>
      </c>
      <c r="BT16" t="n">
        <v>0</v>
      </c>
      <c r="BX16" t="n">
        <v>0</v>
      </c>
      <c r="BY16" t="n">
        <v>0</v>
      </c>
      <c r="BZ16" t="n">
        <v>0</v>
      </c>
      <c r="CB16" s="98" t="n">
        <v>0</v>
      </c>
      <c r="CC16" t="n">
        <v>8</v>
      </c>
      <c r="CD16" t="n">
        <v>8</v>
      </c>
      <c r="CE16" t="n">
        <v>0</v>
      </c>
      <c r="CF16" t="n">
        <v>0</v>
      </c>
      <c r="CG16" t="n">
        <v>0</v>
      </c>
      <c r="CH16" t="n">
        <v>1</v>
      </c>
      <c r="CI16" t="n">
        <v>0</v>
      </c>
      <c r="CJ16" t="n">
        <v>9</v>
      </c>
      <c r="CK16" t="n">
        <v>0</v>
      </c>
      <c r="CL16" s="7" t="n">
        <v>227</v>
      </c>
    </row>
    <row r="17">
      <c r="A17" t="inlineStr">
        <is>
          <t>Dereck Christian</t>
        </is>
      </c>
      <c r="B17" t="inlineStr">
        <is>
          <t>M</t>
        </is>
      </c>
      <c r="C17" t="n">
        <v>25</v>
      </c>
      <c r="L17" s="92" t="n">
        <v>0</v>
      </c>
      <c r="M17" t="n">
        <v>0</v>
      </c>
      <c r="O17" t="n">
        <v>0</v>
      </c>
      <c r="Q17" t="n">
        <v>0</v>
      </c>
      <c r="V17" t="n">
        <v>0</v>
      </c>
      <c r="X17" s="98" t="inlineStr">
        <is>
          <t xml:space="preserve"> </t>
        </is>
      </c>
      <c r="AT17" t="n">
        <v>0</v>
      </c>
      <c r="AU17" t="n">
        <v>0</v>
      </c>
      <c r="BA17" t="n">
        <v>0</v>
      </c>
      <c r="BE17" t="n">
        <v>0</v>
      </c>
      <c r="BF17" t="n">
        <v>0</v>
      </c>
      <c r="BG17" t="n">
        <v>1</v>
      </c>
      <c r="BH17" t="n">
        <v>2</v>
      </c>
      <c r="BI17" t="n">
        <v>0</v>
      </c>
      <c r="BK17" t="n">
        <v>0</v>
      </c>
      <c r="BL17" t="n">
        <v>0</v>
      </c>
      <c r="BM17" t="n">
        <v>1</v>
      </c>
      <c r="BN17" t="n">
        <v>0</v>
      </c>
      <c r="BP17" t="n">
        <v>0</v>
      </c>
      <c r="BQ17" t="n">
        <v>0</v>
      </c>
      <c r="BR17" t="n">
        <v>0</v>
      </c>
      <c r="BS17" t="n">
        <v>2</v>
      </c>
      <c r="BV17" t="n">
        <v>0</v>
      </c>
      <c r="BW17" t="n">
        <v>0</v>
      </c>
      <c r="BX17" t="n">
        <v>0</v>
      </c>
      <c r="BY17" t="n">
        <v>0</v>
      </c>
      <c r="CB17" s="98" t="n">
        <v>3</v>
      </c>
      <c r="CC17" t="n">
        <v>17</v>
      </c>
      <c r="CD17" t="n">
        <v>20</v>
      </c>
      <c r="CE17" t="n">
        <v>0</v>
      </c>
      <c r="CF17" t="n">
        <v>6</v>
      </c>
      <c r="CG17" t="n">
        <v>6</v>
      </c>
      <c r="CH17" t="n">
        <v>5</v>
      </c>
      <c r="CI17" t="n">
        <v>0</v>
      </c>
      <c r="CJ17" t="n">
        <v>25</v>
      </c>
      <c r="CK17" t="n">
        <v>6</v>
      </c>
      <c r="CL17" s="7" t="n">
        <v>50</v>
      </c>
    </row>
    <row r="18">
      <c r="A18" t="inlineStr">
        <is>
          <t>Dold Markus</t>
        </is>
      </c>
      <c r="B18" t="inlineStr">
        <is>
          <t>M</t>
        </is>
      </c>
      <c r="C18" t="n">
        <v>56</v>
      </c>
      <c r="D18" t="n">
        <v>0</v>
      </c>
      <c r="E18" t="n">
        <v>0</v>
      </c>
      <c r="F18" t="n">
        <v>0</v>
      </c>
      <c r="H18" t="n">
        <v>0</v>
      </c>
      <c r="I18" s="92" t="n">
        <v>0</v>
      </c>
      <c r="J18" s="92" t="n">
        <v>0</v>
      </c>
      <c r="X18" s="9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0</v>
      </c>
      <c r="CB18" s="98" t="n">
        <v>28</v>
      </c>
      <c r="CC18" t="n">
        <v>0</v>
      </c>
      <c r="CD18" t="n">
        <v>28</v>
      </c>
      <c r="CE18" t="n">
        <v>3</v>
      </c>
      <c r="CF18" t="n">
        <v>0</v>
      </c>
      <c r="CG18" t="n">
        <v>3</v>
      </c>
      <c r="CH18" t="n">
        <v>6</v>
      </c>
      <c r="CI18" t="n">
        <v>0</v>
      </c>
      <c r="CJ18" t="n">
        <v>34</v>
      </c>
      <c r="CK18" t="n">
        <v>3</v>
      </c>
      <c r="CL18" s="7" t="n">
        <v>90</v>
      </c>
    </row>
    <row r="19">
      <c r="A19" t="inlineStr">
        <is>
          <t>Ebert D.</t>
        </is>
      </c>
      <c r="B19" t="inlineStr">
        <is>
          <t>M</t>
        </is>
      </c>
      <c r="C19" t="n">
        <v>383</v>
      </c>
      <c r="X19" s="98" t="inlineStr">
        <is>
          <t xml:space="preserve"> </t>
        </is>
      </c>
      <c r="BQ19" t="n">
        <v>0</v>
      </c>
      <c r="BZ19" t="n">
        <v>0</v>
      </c>
      <c r="CB19" s="98" t="n">
        <v>0</v>
      </c>
      <c r="CC19" t="n">
        <v>2</v>
      </c>
      <c r="CD19" t="n">
        <v>2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2</v>
      </c>
      <c r="CK19" t="n">
        <v>0</v>
      </c>
      <c r="CL19" s="7" t="n">
        <v>385</v>
      </c>
    </row>
    <row r="20">
      <c r="A20" t="inlineStr">
        <is>
          <t>Ebert M.</t>
        </is>
      </c>
      <c r="B20" t="inlineStr">
        <is>
          <t>M</t>
        </is>
      </c>
      <c r="C20" t="n">
        <v>199</v>
      </c>
      <c r="H20" t="n">
        <v>0</v>
      </c>
      <c r="I20" t="n">
        <v>0</v>
      </c>
      <c r="J20" t="n">
        <v>0</v>
      </c>
      <c r="L20" s="92" t="n">
        <v>0</v>
      </c>
      <c r="N20" t="n">
        <v>0</v>
      </c>
      <c r="Q20" t="n">
        <v>0</v>
      </c>
      <c r="T20" t="n">
        <v>0</v>
      </c>
      <c r="X20" s="98" t="n">
        <v>0</v>
      </c>
      <c r="Y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CB20" s="98" t="n">
        <v>28</v>
      </c>
      <c r="CC20" t="n">
        <v>0</v>
      </c>
      <c r="CD20" t="n">
        <v>28</v>
      </c>
      <c r="CE20" t="n">
        <v>2</v>
      </c>
      <c r="CF20" t="n">
        <v>0</v>
      </c>
      <c r="CG20" t="n">
        <v>2</v>
      </c>
      <c r="CH20" t="n">
        <v>7</v>
      </c>
      <c r="CI20" t="n">
        <v>0</v>
      </c>
      <c r="CJ20" t="n">
        <v>35</v>
      </c>
      <c r="CK20" t="n">
        <v>2</v>
      </c>
      <c r="CL20" s="7" t="n">
        <v>234</v>
      </c>
    </row>
    <row r="21">
      <c r="A21" t="inlineStr">
        <is>
          <t>Engesser M.</t>
        </is>
      </c>
      <c r="B21" t="inlineStr">
        <is>
          <t>M</t>
        </is>
      </c>
      <c r="C21" t="n">
        <v>167</v>
      </c>
      <c r="X21" s="98" t="inlineStr">
        <is>
          <t xml:space="preserve"> </t>
        </is>
      </c>
      <c r="CB21" s="98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s="7" t="n">
        <v>167</v>
      </c>
    </row>
    <row r="22">
      <c r="A22" t="inlineStr">
        <is>
          <t>Ettwein Kevin</t>
        </is>
      </c>
      <c r="B22" t="inlineStr">
        <is>
          <t>L</t>
        </is>
      </c>
      <c r="C22" t="n">
        <v>8</v>
      </c>
      <c r="X22" s="98" t="inlineStr">
        <is>
          <t xml:space="preserve"> </t>
        </is>
      </c>
      <c r="CB22" s="98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s="7" t="n">
        <v>8</v>
      </c>
    </row>
    <row r="23">
      <c r="A23" t="inlineStr">
        <is>
          <t>Ettwein Dennis</t>
        </is>
      </c>
      <c r="B23" t="inlineStr">
        <is>
          <t>L</t>
        </is>
      </c>
      <c r="C23" t="n">
        <v>27</v>
      </c>
      <c r="L23" t="n">
        <v>0</v>
      </c>
      <c r="M23" t="n">
        <v>0</v>
      </c>
      <c r="N23" t="n">
        <v>0</v>
      </c>
      <c r="O23" t="n">
        <v>0</v>
      </c>
      <c r="X23" s="98" t="inlineStr">
        <is>
          <t xml:space="preserve"> </t>
        </is>
      </c>
      <c r="BE23" t="n">
        <v>0</v>
      </c>
      <c r="CB23" s="98" t="n">
        <v>0</v>
      </c>
      <c r="CC23" t="n">
        <v>1</v>
      </c>
      <c r="CD23" t="n">
        <v>1</v>
      </c>
      <c r="CE23" t="n">
        <v>0</v>
      </c>
      <c r="CF23" t="n">
        <v>0</v>
      </c>
      <c r="CG23" t="n">
        <v>0</v>
      </c>
      <c r="CH23" t="n">
        <v>4</v>
      </c>
      <c r="CI23" t="n">
        <v>0</v>
      </c>
      <c r="CJ23" t="n">
        <v>5</v>
      </c>
      <c r="CK23" t="n">
        <v>0</v>
      </c>
      <c r="CL23" s="7" t="n">
        <v>32</v>
      </c>
    </row>
    <row r="24">
      <c r="A24" t="inlineStr">
        <is>
          <t>Ganter F.</t>
        </is>
      </c>
      <c r="B24" t="inlineStr">
        <is>
          <t>M</t>
        </is>
      </c>
      <c r="C24" t="n">
        <v>400</v>
      </c>
      <c r="X24" s="98" t="inlineStr">
        <is>
          <t xml:space="preserve"> </t>
        </is>
      </c>
      <c r="BJ24" t="n">
        <v>0</v>
      </c>
      <c r="CB24" s="98" t="n">
        <v>0</v>
      </c>
      <c r="CC24" t="n">
        <v>1</v>
      </c>
      <c r="CD24" t="n">
        <v>1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1</v>
      </c>
      <c r="CK24" t="n">
        <v>0</v>
      </c>
      <c r="CL24" s="7" t="n">
        <v>401</v>
      </c>
    </row>
    <row r="25">
      <c r="A25" t="inlineStr">
        <is>
          <t>Glase Rico</t>
        </is>
      </c>
      <c r="B25" t="inlineStr">
        <is>
          <t>M</t>
        </is>
      </c>
      <c r="C25" t="n">
        <v>40</v>
      </c>
      <c r="Q25" t="n">
        <v>0</v>
      </c>
      <c r="X25" s="98" t="inlineStr">
        <is>
          <t xml:space="preserve"> </t>
        </is>
      </c>
      <c r="CB25" s="98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</v>
      </c>
      <c r="CI25" t="n">
        <v>0</v>
      </c>
      <c r="CJ25" t="n">
        <v>1</v>
      </c>
      <c r="CK25" t="n">
        <v>0</v>
      </c>
      <c r="CL25" s="7" t="n">
        <v>41</v>
      </c>
    </row>
    <row r="26">
      <c r="A26" t="inlineStr">
        <is>
          <t>Günter Ralf</t>
        </is>
      </c>
      <c r="B26" t="inlineStr">
        <is>
          <t>L</t>
        </is>
      </c>
      <c r="C26" t="n">
        <v>125</v>
      </c>
      <c r="D26" t="n">
        <v>0</v>
      </c>
      <c r="E26" t="n">
        <v>0</v>
      </c>
      <c r="F26" t="n">
        <v>0</v>
      </c>
      <c r="H26" t="n">
        <v>0</v>
      </c>
      <c r="I26" s="92" t="n">
        <v>0</v>
      </c>
      <c r="J26" s="92" t="n">
        <v>0</v>
      </c>
      <c r="L26" s="92" t="n">
        <v>0</v>
      </c>
      <c r="O26" t="n">
        <v>0</v>
      </c>
      <c r="X26" s="98" t="inlineStr">
        <is>
          <t xml:space="preserve"> </t>
        </is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J26" t="n">
        <v>0</v>
      </c>
      <c r="AK26" t="n">
        <v>0</v>
      </c>
      <c r="AL26" t="n">
        <v>0</v>
      </c>
      <c r="AN26" t="n">
        <v>0</v>
      </c>
      <c r="AO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E26" t="n">
        <v>0</v>
      </c>
      <c r="BL26" t="n">
        <v>0</v>
      </c>
      <c r="BN26" t="n">
        <v>0</v>
      </c>
      <c r="BP26" t="n">
        <v>0</v>
      </c>
      <c r="CB26" s="98" t="n">
        <v>22</v>
      </c>
      <c r="CC26" t="n">
        <v>4</v>
      </c>
      <c r="CD26" t="n">
        <v>26</v>
      </c>
      <c r="CE26" t="n">
        <v>0</v>
      </c>
      <c r="CF26" t="n">
        <v>0</v>
      </c>
      <c r="CG26" t="n">
        <v>0</v>
      </c>
      <c r="CH26" t="n">
        <v>8</v>
      </c>
      <c r="CI26" t="n">
        <v>0</v>
      </c>
      <c r="CJ26" t="n">
        <v>34</v>
      </c>
      <c r="CK26" t="n">
        <v>0</v>
      </c>
      <c r="CL26" s="7" t="n">
        <v>159</v>
      </c>
    </row>
    <row r="27">
      <c r="A27" t="inlineStr">
        <is>
          <t>Haberstroh Benny</t>
        </is>
      </c>
      <c r="B27" t="inlineStr">
        <is>
          <t>M</t>
        </is>
      </c>
      <c r="C27" t="n">
        <v>19</v>
      </c>
      <c r="X27" s="98" t="inlineStr">
        <is>
          <t xml:space="preserve"> </t>
        </is>
      </c>
      <c r="CB27" s="98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s="7" t="n">
        <v>19</v>
      </c>
    </row>
    <row r="28">
      <c r="A28" t="inlineStr">
        <is>
          <t>Haberstroh Michael</t>
        </is>
      </c>
      <c r="B28" t="inlineStr">
        <is>
          <t>M</t>
        </is>
      </c>
      <c r="C28" t="n">
        <v>6</v>
      </c>
      <c r="X28" s="98" t="inlineStr">
        <is>
          <t xml:space="preserve"> </t>
        </is>
      </c>
      <c r="CB28" s="9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s="7" t="n">
        <v>6</v>
      </c>
    </row>
    <row r="29">
      <c r="A29" t="inlineStr">
        <is>
          <t>Haberstroh Raphael</t>
        </is>
      </c>
      <c r="B29" t="inlineStr">
        <is>
          <t>M</t>
        </is>
      </c>
      <c r="C29" t="n">
        <v>112</v>
      </c>
      <c r="E29" t="n">
        <v>0</v>
      </c>
      <c r="F29" t="n">
        <v>0</v>
      </c>
      <c r="J29" t="n">
        <v>0</v>
      </c>
      <c r="M29" t="n">
        <v>0</v>
      </c>
      <c r="Q29" t="n">
        <v>0</v>
      </c>
      <c r="X29" s="98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N29" t="n">
        <v>0</v>
      </c>
      <c r="AO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K29" t="n">
        <v>1</v>
      </c>
      <c r="BL29" t="n">
        <v>0</v>
      </c>
      <c r="BM29" t="n">
        <v>1</v>
      </c>
      <c r="BN29" t="n">
        <v>0</v>
      </c>
      <c r="BO29" t="n">
        <v>1</v>
      </c>
      <c r="BR29" t="n">
        <v>0</v>
      </c>
      <c r="CB29" s="98" t="n">
        <v>19</v>
      </c>
      <c r="CC29" t="n">
        <v>6</v>
      </c>
      <c r="CD29" t="n">
        <v>25</v>
      </c>
      <c r="CE29" t="n">
        <v>0</v>
      </c>
      <c r="CF29" t="n">
        <v>3</v>
      </c>
      <c r="CG29" t="n">
        <v>3</v>
      </c>
      <c r="CH29" t="n">
        <v>5</v>
      </c>
      <c r="CI29" t="n">
        <v>0</v>
      </c>
      <c r="CJ29" t="n">
        <v>30</v>
      </c>
      <c r="CK29" t="n">
        <v>3</v>
      </c>
      <c r="CL29" s="7" t="n">
        <v>142</v>
      </c>
    </row>
    <row r="30">
      <c r="A30" s="92" t="inlineStr">
        <is>
          <t>Hauser Marcel</t>
        </is>
      </c>
      <c r="B30" s="92" t="inlineStr">
        <is>
          <t>L</t>
        </is>
      </c>
      <c r="C30" t="n">
        <v>1</v>
      </c>
      <c r="H30" t="n">
        <v>0</v>
      </c>
      <c r="L30" t="n">
        <v>0</v>
      </c>
      <c r="M30" t="n">
        <v>0</v>
      </c>
      <c r="O30" t="n">
        <v>0</v>
      </c>
      <c r="V30" t="n">
        <v>0</v>
      </c>
      <c r="X30" s="98" t="inlineStr">
        <is>
          <t xml:space="preserve"> </t>
        </is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B30" s="98" t="n">
        <v>0</v>
      </c>
      <c r="CC30" t="n">
        <v>21</v>
      </c>
      <c r="CD30" t="n">
        <v>21</v>
      </c>
      <c r="CE30" t="n">
        <v>0</v>
      </c>
      <c r="CF30" t="n">
        <v>0</v>
      </c>
      <c r="CG30" t="n">
        <v>0</v>
      </c>
      <c r="CH30" t="n">
        <v>5</v>
      </c>
      <c r="CI30" t="n">
        <v>0</v>
      </c>
      <c r="CJ30" t="n">
        <v>26</v>
      </c>
      <c r="CK30" t="n">
        <v>0</v>
      </c>
      <c r="CL30" s="7" t="n">
        <v>27</v>
      </c>
    </row>
    <row r="31">
      <c r="A31" t="inlineStr">
        <is>
          <t>Heilmann M.</t>
        </is>
      </c>
      <c r="B31" t="inlineStr">
        <is>
          <t>M</t>
        </is>
      </c>
      <c r="C31" t="n">
        <v>245</v>
      </c>
      <c r="X31" s="98" t="inlineStr">
        <is>
          <t xml:space="preserve"> </t>
        </is>
      </c>
      <c r="CB31" s="98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s="7" t="n">
        <v>245</v>
      </c>
    </row>
    <row r="32">
      <c r="A32" t="inlineStr">
        <is>
          <t>Hornikel A.</t>
        </is>
      </c>
      <c r="B32" t="inlineStr">
        <is>
          <t>M</t>
        </is>
      </c>
      <c r="C32" t="n">
        <v>339</v>
      </c>
      <c r="X32" s="98" t="inlineStr">
        <is>
          <t xml:space="preserve"> </t>
        </is>
      </c>
      <c r="CB32" s="98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s="7" t="n">
        <v>339</v>
      </c>
    </row>
    <row r="33">
      <c r="A33" t="inlineStr">
        <is>
          <t>Jäckle M.</t>
        </is>
      </c>
      <c r="B33" t="inlineStr">
        <is>
          <t>M</t>
        </is>
      </c>
      <c r="C33" t="n">
        <v>276</v>
      </c>
      <c r="X33" s="98" t="inlineStr">
        <is>
          <t xml:space="preserve"> </t>
        </is>
      </c>
      <c r="CB33" s="98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s="7" t="n">
        <v>276</v>
      </c>
    </row>
    <row r="34">
      <c r="A34" t="inlineStr">
        <is>
          <t>Jaki S.</t>
        </is>
      </c>
      <c r="B34" t="inlineStr">
        <is>
          <t>M</t>
        </is>
      </c>
      <c r="C34" t="n">
        <v>456</v>
      </c>
      <c r="N34" t="n">
        <v>0</v>
      </c>
      <c r="T34" t="n">
        <v>0</v>
      </c>
      <c r="X34" s="98" t="n">
        <v>0</v>
      </c>
      <c r="Y34" t="n">
        <v>1</v>
      </c>
      <c r="Z34" t="n">
        <v>0</v>
      </c>
      <c r="AA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2</v>
      </c>
      <c r="BG34" t="n">
        <v>0</v>
      </c>
      <c r="CB34" s="98" t="n">
        <v>14</v>
      </c>
      <c r="CC34" t="n">
        <v>1</v>
      </c>
      <c r="CD34" t="n">
        <v>15</v>
      </c>
      <c r="CE34" t="n">
        <v>6</v>
      </c>
      <c r="CF34" t="n">
        <v>0</v>
      </c>
      <c r="CG34" t="n">
        <v>6</v>
      </c>
      <c r="CH34" t="n">
        <v>2</v>
      </c>
      <c r="CI34" t="n">
        <v>0</v>
      </c>
      <c r="CJ34" t="n">
        <v>17</v>
      </c>
      <c r="CK34" t="n">
        <v>6</v>
      </c>
      <c r="CL34" s="7" t="n">
        <v>473</v>
      </c>
    </row>
    <row r="35">
      <c r="A35" t="inlineStr">
        <is>
          <t>Jauch Jo.</t>
        </is>
      </c>
      <c r="B35" t="inlineStr">
        <is>
          <t>M</t>
        </is>
      </c>
      <c r="C35" t="n">
        <v>355</v>
      </c>
      <c r="X35" s="98" t="inlineStr">
        <is>
          <t xml:space="preserve"> </t>
        </is>
      </c>
      <c r="BZ35" t="n">
        <v>0</v>
      </c>
      <c r="CB35" s="98" t="n">
        <v>0</v>
      </c>
      <c r="CC35" t="n">
        <v>1</v>
      </c>
      <c r="CD35" t="n">
        <v>1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1</v>
      </c>
      <c r="CK35" t="n">
        <v>0</v>
      </c>
      <c r="CL35" s="7" t="n">
        <v>356</v>
      </c>
    </row>
    <row r="36">
      <c r="A36" t="inlineStr">
        <is>
          <t>Jauch Jürgen</t>
        </is>
      </c>
      <c r="B36" t="inlineStr">
        <is>
          <t>M</t>
        </is>
      </c>
      <c r="C36" t="n">
        <v>216</v>
      </c>
      <c r="X36" s="98" t="inlineStr">
        <is>
          <t xml:space="preserve"> </t>
        </is>
      </c>
      <c r="CB36" s="98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s="7" t="n">
        <v>216</v>
      </c>
    </row>
    <row r="37">
      <c r="A37" t="inlineStr">
        <is>
          <t>Kimmich Simeon</t>
        </is>
      </c>
      <c r="C37" t="n">
        <v>0</v>
      </c>
      <c r="X37" s="98" t="inlineStr">
        <is>
          <t xml:space="preserve"> </t>
        </is>
      </c>
      <c r="BZ37" t="n">
        <v>0</v>
      </c>
      <c r="CB37" s="98" t="n">
        <v>0</v>
      </c>
      <c r="CC37" t="n">
        <v>1</v>
      </c>
      <c r="CD37" t="n">
        <v>1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1</v>
      </c>
      <c r="CK37" t="n">
        <v>0</v>
      </c>
      <c r="CL37" s="7" t="n">
        <v>1</v>
      </c>
    </row>
    <row r="38">
      <c r="A38" t="inlineStr">
        <is>
          <t>Klausmann M.</t>
        </is>
      </c>
      <c r="B38" t="inlineStr">
        <is>
          <t>M</t>
        </is>
      </c>
      <c r="C38" t="n">
        <v>253</v>
      </c>
      <c r="X38" s="98" t="inlineStr">
        <is>
          <t xml:space="preserve"> </t>
        </is>
      </c>
      <c r="CB38" s="9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s="7" t="n">
        <v>253</v>
      </c>
    </row>
    <row r="39">
      <c r="A39" t="inlineStr">
        <is>
          <t>Kuner Matthias</t>
        </is>
      </c>
      <c r="C39" t="n">
        <v>2</v>
      </c>
      <c r="L39" t="n">
        <v>0</v>
      </c>
      <c r="O39" t="n">
        <v>0</v>
      </c>
      <c r="Q39" t="n">
        <v>0</v>
      </c>
      <c r="X39" s="98" t="inlineStr">
        <is>
          <t xml:space="preserve"> </t>
        </is>
      </c>
      <c r="AC39" t="n">
        <v>0</v>
      </c>
      <c r="AU39" t="n">
        <v>0</v>
      </c>
      <c r="AX39" t="n">
        <v>0</v>
      </c>
      <c r="AZ39" t="n">
        <v>0</v>
      </c>
      <c r="BA39" t="n">
        <v>0</v>
      </c>
      <c r="BF39" t="n">
        <v>0</v>
      </c>
      <c r="BH39" t="n">
        <v>0</v>
      </c>
      <c r="BK39" t="n">
        <v>0</v>
      </c>
      <c r="BM39" t="n">
        <v>0</v>
      </c>
      <c r="BN39" t="n">
        <v>0</v>
      </c>
      <c r="BO39" t="n">
        <v>1</v>
      </c>
      <c r="BP39" t="n">
        <v>0</v>
      </c>
      <c r="BQ39" t="n">
        <v>1</v>
      </c>
      <c r="BS39" t="n">
        <v>1</v>
      </c>
      <c r="BT39" t="n">
        <v>0</v>
      </c>
      <c r="BV39" t="n">
        <v>0</v>
      </c>
      <c r="CB39" s="98" t="n">
        <v>5</v>
      </c>
      <c r="CC39" t="n">
        <v>11</v>
      </c>
      <c r="CD39" t="n">
        <v>16</v>
      </c>
      <c r="CE39" t="n">
        <v>0</v>
      </c>
      <c r="CF39" t="n">
        <v>3</v>
      </c>
      <c r="CG39" t="n">
        <v>3</v>
      </c>
      <c r="CH39" t="n">
        <v>3</v>
      </c>
      <c r="CI39" t="n">
        <v>0</v>
      </c>
      <c r="CJ39" t="n">
        <v>19</v>
      </c>
      <c r="CK39" t="n">
        <v>3</v>
      </c>
      <c r="CL39" s="7" t="n">
        <v>21</v>
      </c>
    </row>
    <row r="40">
      <c r="A40" t="inlineStr">
        <is>
          <t>Klein Daniel</t>
        </is>
      </c>
      <c r="B40" t="inlineStr">
        <is>
          <t>M</t>
        </is>
      </c>
      <c r="C40" t="n">
        <v>156</v>
      </c>
      <c r="J40" t="n">
        <v>0</v>
      </c>
      <c r="L40" t="n">
        <v>0</v>
      </c>
      <c r="N40" t="n">
        <v>0</v>
      </c>
      <c r="O40" t="n">
        <v>0</v>
      </c>
      <c r="Q40" t="n">
        <v>0</v>
      </c>
      <c r="T40" t="n">
        <v>0</v>
      </c>
      <c r="X40" s="98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B40" s="98" t="n">
        <v>1</v>
      </c>
      <c r="CC40" t="n">
        <v>22</v>
      </c>
      <c r="CD40" t="n">
        <v>23</v>
      </c>
      <c r="CE40" t="n">
        <v>0</v>
      </c>
      <c r="CF40" t="n">
        <v>0</v>
      </c>
      <c r="CG40" t="n">
        <v>0</v>
      </c>
      <c r="CH40" t="n">
        <v>6</v>
      </c>
      <c r="CI40" t="n">
        <v>0</v>
      </c>
      <c r="CJ40" t="n">
        <v>29</v>
      </c>
      <c r="CK40" t="n">
        <v>0</v>
      </c>
      <c r="CL40" s="7" t="n">
        <v>185</v>
      </c>
    </row>
    <row r="41">
      <c r="A41" t="inlineStr">
        <is>
          <t>Linder Andreas</t>
        </is>
      </c>
      <c r="B41" t="inlineStr">
        <is>
          <t>L</t>
        </is>
      </c>
      <c r="C41" t="n">
        <v>60</v>
      </c>
      <c r="L41" t="n">
        <v>0</v>
      </c>
      <c r="M41" t="n">
        <v>0</v>
      </c>
      <c r="N41" t="n">
        <v>0</v>
      </c>
      <c r="O41" t="n">
        <v>1</v>
      </c>
      <c r="X41" s="98" t="inlineStr">
        <is>
          <t xml:space="preserve"> </t>
        </is>
      </c>
      <c r="AX41" t="n">
        <v>0</v>
      </c>
      <c r="BG41" t="n">
        <v>0</v>
      </c>
      <c r="BH41" t="n">
        <v>0</v>
      </c>
      <c r="BI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Z41" t="n">
        <v>0</v>
      </c>
      <c r="CB41" s="98" t="n">
        <v>1</v>
      </c>
      <c r="CC41" t="n">
        <v>9</v>
      </c>
      <c r="CD41" t="n">
        <v>10</v>
      </c>
      <c r="CE41" t="n">
        <v>0</v>
      </c>
      <c r="CF41" t="n">
        <v>0</v>
      </c>
      <c r="CG41" t="n">
        <v>0</v>
      </c>
      <c r="CH41" t="n">
        <v>4</v>
      </c>
      <c r="CI41" t="n">
        <v>1</v>
      </c>
      <c r="CJ41" t="n">
        <v>14</v>
      </c>
      <c r="CK41" t="n">
        <v>1</v>
      </c>
      <c r="CL41" s="7" t="n">
        <v>74</v>
      </c>
    </row>
    <row r="42">
      <c r="A42" t="inlineStr">
        <is>
          <t>Löffler Marius</t>
        </is>
      </c>
      <c r="B42" t="inlineStr">
        <is>
          <t>L</t>
        </is>
      </c>
      <c r="C42" t="n">
        <v>95</v>
      </c>
      <c r="D42" t="n">
        <v>0</v>
      </c>
      <c r="E42" t="n">
        <v>0</v>
      </c>
      <c r="F42" t="n">
        <v>0</v>
      </c>
      <c r="I42" t="n">
        <v>0</v>
      </c>
      <c r="J42" t="n">
        <v>0</v>
      </c>
      <c r="X42" s="98" t="n">
        <v>0</v>
      </c>
      <c r="Y42" t="n">
        <v>0</v>
      </c>
      <c r="Z42" t="n">
        <v>0</v>
      </c>
      <c r="AA42" t="n">
        <v>1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K42" t="n">
        <v>0</v>
      </c>
      <c r="AL42" t="n">
        <v>1</v>
      </c>
      <c r="AM42" t="n">
        <v>0</v>
      </c>
      <c r="AN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BA42" t="n">
        <v>0</v>
      </c>
      <c r="CB42" s="98" t="n">
        <v>21</v>
      </c>
      <c r="CC42" t="n">
        <v>0</v>
      </c>
      <c r="CD42" t="n">
        <v>21</v>
      </c>
      <c r="CE42" t="n">
        <v>2</v>
      </c>
      <c r="CF42" t="n">
        <v>0</v>
      </c>
      <c r="CG42" t="n">
        <v>2</v>
      </c>
      <c r="CH42" t="n">
        <v>5</v>
      </c>
      <c r="CI42" t="n">
        <v>0</v>
      </c>
      <c r="CJ42" t="n">
        <v>26</v>
      </c>
      <c r="CK42" t="n">
        <v>2</v>
      </c>
      <c r="CL42" s="7" t="n">
        <v>121</v>
      </c>
    </row>
    <row r="43">
      <c r="A43" t="inlineStr">
        <is>
          <t>Marte Marvin</t>
        </is>
      </c>
      <c r="B43" t="inlineStr">
        <is>
          <t>M</t>
        </is>
      </c>
      <c r="C43" t="n">
        <v>107</v>
      </c>
      <c r="D43" t="n">
        <v>0</v>
      </c>
      <c r="E43" t="n">
        <v>0</v>
      </c>
      <c r="F43" t="n">
        <v>0</v>
      </c>
      <c r="I43" t="n">
        <v>0</v>
      </c>
      <c r="J43" t="n">
        <v>0</v>
      </c>
      <c r="X43" s="98" t="n">
        <v>1</v>
      </c>
      <c r="Y43" t="n">
        <v>0</v>
      </c>
      <c r="Z43" t="n">
        <v>0</v>
      </c>
      <c r="AA43" t="n">
        <v>0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U43" t="n">
        <v>1</v>
      </c>
      <c r="AV43" t="n">
        <v>0</v>
      </c>
      <c r="AW43" t="n">
        <v>0</v>
      </c>
      <c r="AY43" t="n">
        <v>0</v>
      </c>
      <c r="AZ43" t="n">
        <v>0</v>
      </c>
      <c r="BA43" t="n">
        <v>1</v>
      </c>
      <c r="BW43" t="n">
        <v>0</v>
      </c>
      <c r="CB43" s="98" t="n">
        <v>26</v>
      </c>
      <c r="CC43" t="n">
        <v>1</v>
      </c>
      <c r="CD43" t="n">
        <v>27</v>
      </c>
      <c r="CE43" t="n">
        <v>4</v>
      </c>
      <c r="CF43" t="n">
        <v>0</v>
      </c>
      <c r="CG43" t="n">
        <v>4</v>
      </c>
      <c r="CH43" t="n">
        <v>5</v>
      </c>
      <c r="CI43" t="n">
        <v>0</v>
      </c>
      <c r="CJ43" t="n">
        <v>32</v>
      </c>
      <c r="CK43" t="n">
        <v>4</v>
      </c>
      <c r="CL43" s="7" t="n">
        <v>139</v>
      </c>
    </row>
    <row r="44">
      <c r="A44" t="inlineStr">
        <is>
          <t>Moosmann J.</t>
        </is>
      </c>
      <c r="B44" t="inlineStr">
        <is>
          <t>L</t>
        </is>
      </c>
      <c r="C44" t="n">
        <v>83</v>
      </c>
      <c r="X44" s="98" t="inlineStr">
        <is>
          <t xml:space="preserve"> </t>
        </is>
      </c>
      <c r="CB44" s="98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s="7" t="n">
        <v>83</v>
      </c>
    </row>
    <row r="45">
      <c r="A45" t="inlineStr">
        <is>
          <t>Moosmann Kay</t>
        </is>
      </c>
      <c r="B45" t="inlineStr">
        <is>
          <t>L</t>
        </is>
      </c>
      <c r="C45" t="n">
        <v>0</v>
      </c>
      <c r="X45" s="98" t="inlineStr">
        <is>
          <t xml:space="preserve"> </t>
        </is>
      </c>
      <c r="BS45" t="n">
        <v>1</v>
      </c>
      <c r="BT45" t="n">
        <v>0</v>
      </c>
      <c r="BU45" t="n">
        <v>0</v>
      </c>
      <c r="BY45" t="n">
        <v>0</v>
      </c>
      <c r="CB45" s="98" t="n">
        <v>0</v>
      </c>
      <c r="CC45" t="n">
        <v>4</v>
      </c>
      <c r="CD45" t="n">
        <v>4</v>
      </c>
      <c r="CE45" t="n">
        <v>0</v>
      </c>
      <c r="CF45" t="n">
        <v>1</v>
      </c>
      <c r="CG45" t="n">
        <v>1</v>
      </c>
      <c r="CH45" t="n">
        <v>0</v>
      </c>
      <c r="CI45" t="n">
        <v>0</v>
      </c>
      <c r="CJ45" t="n">
        <v>4</v>
      </c>
      <c r="CK45" t="n">
        <v>1</v>
      </c>
      <c r="CL45" s="7" t="n">
        <v>4</v>
      </c>
    </row>
    <row r="46">
      <c r="A46" t="inlineStr">
        <is>
          <t>Moosmann M.</t>
        </is>
      </c>
      <c r="B46" t="inlineStr">
        <is>
          <t>M</t>
        </is>
      </c>
      <c r="C46" t="n">
        <v>355</v>
      </c>
      <c r="X46" s="98" t="inlineStr">
        <is>
          <t xml:space="preserve"> </t>
        </is>
      </c>
      <c r="CB46" s="98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s="7" t="n">
        <v>355</v>
      </c>
    </row>
    <row r="47">
      <c r="A47" t="inlineStr">
        <is>
          <t>Müller Andre</t>
        </is>
      </c>
      <c r="B47" t="inlineStr">
        <is>
          <t>M</t>
        </is>
      </c>
      <c r="C47" t="n">
        <v>13</v>
      </c>
      <c r="H47" t="n">
        <v>0</v>
      </c>
      <c r="O47" t="n">
        <v>0</v>
      </c>
      <c r="V47" t="n">
        <v>0</v>
      </c>
      <c r="X47" s="98" t="inlineStr">
        <is>
          <t xml:space="preserve"> </t>
        </is>
      </c>
      <c r="BE47" t="n">
        <v>0</v>
      </c>
      <c r="BF47" t="n">
        <v>0</v>
      </c>
      <c r="BG47" t="n">
        <v>0</v>
      </c>
      <c r="BH47" t="n">
        <v>1</v>
      </c>
      <c r="BI47" t="n">
        <v>1</v>
      </c>
      <c r="BJ47" t="n">
        <v>1</v>
      </c>
      <c r="BK47" t="n">
        <v>0</v>
      </c>
      <c r="BM47" t="n">
        <v>0</v>
      </c>
      <c r="BN47" t="n">
        <v>0</v>
      </c>
      <c r="BO47" t="n">
        <v>0</v>
      </c>
      <c r="BQ47" t="n">
        <v>0</v>
      </c>
      <c r="BR47" t="n">
        <v>0</v>
      </c>
      <c r="BS47" t="n">
        <v>0</v>
      </c>
      <c r="BT47" t="n">
        <v>4</v>
      </c>
      <c r="BU47" t="n">
        <v>0</v>
      </c>
      <c r="BV47" t="n">
        <v>2</v>
      </c>
      <c r="BW47" t="n">
        <v>0</v>
      </c>
      <c r="BX47" t="n">
        <v>2</v>
      </c>
      <c r="BY47" t="n">
        <v>0</v>
      </c>
      <c r="BZ47" t="n">
        <v>0</v>
      </c>
      <c r="CB47" s="98" t="n">
        <v>0</v>
      </c>
      <c r="CC47" t="n">
        <v>20</v>
      </c>
      <c r="CD47" t="n">
        <v>20</v>
      </c>
      <c r="CE47" t="n">
        <v>0</v>
      </c>
      <c r="CF47" t="n">
        <v>11</v>
      </c>
      <c r="CG47" t="n">
        <v>11</v>
      </c>
      <c r="CH47" t="n">
        <v>3</v>
      </c>
      <c r="CI47" t="n">
        <v>0</v>
      </c>
      <c r="CJ47" t="n">
        <v>23</v>
      </c>
      <c r="CK47" t="n">
        <v>11</v>
      </c>
      <c r="CL47" s="7" t="n">
        <v>36</v>
      </c>
    </row>
    <row r="48">
      <c r="A48" s="92" t="inlineStr">
        <is>
          <t>Müller Felix</t>
        </is>
      </c>
      <c r="B48" s="92" t="inlineStr">
        <is>
          <t>L</t>
        </is>
      </c>
      <c r="C48" t="n">
        <v>0</v>
      </c>
      <c r="Q48" t="n">
        <v>0</v>
      </c>
      <c r="X48" s="98" t="inlineStr">
        <is>
          <t xml:space="preserve"> </t>
        </is>
      </c>
      <c r="AV48" t="n">
        <v>0</v>
      </c>
      <c r="AW48" t="n">
        <v>0</v>
      </c>
      <c r="AX48" t="n">
        <v>0</v>
      </c>
      <c r="AZ48" t="n">
        <v>0</v>
      </c>
      <c r="BQ48" t="n">
        <v>0</v>
      </c>
      <c r="BS48" t="n">
        <v>0</v>
      </c>
      <c r="BT48" t="n">
        <v>0</v>
      </c>
      <c r="BU48" t="n">
        <v>0</v>
      </c>
      <c r="BW48" t="n">
        <v>0</v>
      </c>
      <c r="BY48" t="n">
        <v>1</v>
      </c>
      <c r="CB48" s="98" t="n">
        <v>4</v>
      </c>
      <c r="CC48" t="n">
        <v>6</v>
      </c>
      <c r="CD48" t="n">
        <v>10</v>
      </c>
      <c r="CE48" t="n">
        <v>0</v>
      </c>
      <c r="CF48" t="n">
        <v>1</v>
      </c>
      <c r="CG48" t="n">
        <v>1</v>
      </c>
      <c r="CH48" t="n">
        <v>1</v>
      </c>
      <c r="CI48" t="n">
        <v>0</v>
      </c>
      <c r="CJ48" t="n">
        <v>11</v>
      </c>
      <c r="CK48" t="n">
        <v>1</v>
      </c>
      <c r="CL48" s="7" t="n">
        <v>11</v>
      </c>
    </row>
    <row r="49">
      <c r="A49" t="inlineStr">
        <is>
          <t>Müller Thorsten</t>
        </is>
      </c>
      <c r="B49" t="inlineStr">
        <is>
          <t>M</t>
        </is>
      </c>
      <c r="C49" t="n">
        <v>38</v>
      </c>
      <c r="D49" t="n">
        <v>0</v>
      </c>
      <c r="E49" t="n">
        <v>0</v>
      </c>
      <c r="F49" t="n">
        <v>0</v>
      </c>
      <c r="O49" t="n">
        <v>1</v>
      </c>
      <c r="Q49" t="n">
        <v>0</v>
      </c>
      <c r="X49" s="98" t="inlineStr">
        <is>
          <t xml:space="preserve"> </t>
        </is>
      </c>
      <c r="BE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CB49" s="98" t="n">
        <v>0</v>
      </c>
      <c r="CC49" t="n">
        <v>9</v>
      </c>
      <c r="CD49" t="n">
        <v>9</v>
      </c>
      <c r="CE49" t="n">
        <v>0</v>
      </c>
      <c r="CF49" t="n">
        <v>0</v>
      </c>
      <c r="CG49" t="n">
        <v>0</v>
      </c>
      <c r="CH49" t="n">
        <v>5</v>
      </c>
      <c r="CI49" t="n">
        <v>1</v>
      </c>
      <c r="CJ49" t="n">
        <v>14</v>
      </c>
      <c r="CK49" t="n">
        <v>1</v>
      </c>
      <c r="CL49" s="7" t="n">
        <v>52</v>
      </c>
    </row>
    <row r="50">
      <c r="A50" t="inlineStr">
        <is>
          <t>Müller-Kohl, Ricardo</t>
        </is>
      </c>
      <c r="B50" t="inlineStr">
        <is>
          <t>M</t>
        </is>
      </c>
      <c r="C50" t="n">
        <v>8</v>
      </c>
      <c r="X50" s="98" t="inlineStr">
        <is>
          <t xml:space="preserve"> </t>
        </is>
      </c>
      <c r="CB50" s="98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s="7" t="n">
        <v>8</v>
      </c>
    </row>
    <row r="51">
      <c r="A51" t="inlineStr">
        <is>
          <t>Murer Matthias</t>
        </is>
      </c>
      <c r="B51" t="inlineStr">
        <is>
          <t>L</t>
        </is>
      </c>
      <c r="C51" s="56" t="n">
        <v>265</v>
      </c>
      <c r="X51" s="98" t="inlineStr">
        <is>
          <t xml:space="preserve"> </t>
        </is>
      </c>
      <c r="CB51" s="98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s="7" t="n">
        <v>265</v>
      </c>
    </row>
    <row r="52">
      <c r="A52" t="inlineStr">
        <is>
          <t>Oehler Alex</t>
        </is>
      </c>
      <c r="B52" t="inlineStr">
        <is>
          <t>L</t>
        </is>
      </c>
      <c r="C52" s="56" t="n">
        <v>108</v>
      </c>
      <c r="X52" s="98" t="inlineStr">
        <is>
          <t xml:space="preserve"> </t>
        </is>
      </c>
      <c r="CB52" s="98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s="7" t="n">
        <v>108</v>
      </c>
    </row>
    <row r="53">
      <c r="A53" t="inlineStr">
        <is>
          <t>Oehler Christoph</t>
        </is>
      </c>
      <c r="B53" t="inlineStr">
        <is>
          <t>L</t>
        </is>
      </c>
      <c r="C53" s="56" t="n">
        <v>104</v>
      </c>
      <c r="X53" s="98" t="inlineStr">
        <is>
          <t xml:space="preserve"> </t>
        </is>
      </c>
      <c r="BF53" t="n">
        <v>0</v>
      </c>
      <c r="BG53" t="n">
        <v>0</v>
      </c>
      <c r="CB53" s="98" t="n">
        <v>0</v>
      </c>
      <c r="CC53" t="n">
        <v>2</v>
      </c>
      <c r="CD53" t="n">
        <v>2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2</v>
      </c>
      <c r="CK53" t="n">
        <v>0</v>
      </c>
      <c r="CL53" s="7" t="n">
        <v>106</v>
      </c>
    </row>
    <row r="54">
      <c r="A54" t="inlineStr">
        <is>
          <t>Pfundstein Andreas</t>
        </is>
      </c>
      <c r="B54" t="inlineStr">
        <is>
          <t>L</t>
        </is>
      </c>
      <c r="C54" t="n">
        <v>114</v>
      </c>
      <c r="X54" s="98" t="inlineStr">
        <is>
          <t xml:space="preserve"> </t>
        </is>
      </c>
      <c r="BL54" t="n">
        <v>1</v>
      </c>
      <c r="BP54" t="n">
        <v>1</v>
      </c>
      <c r="BR54" t="n">
        <v>1</v>
      </c>
      <c r="CB54" s="98" t="n">
        <v>0</v>
      </c>
      <c r="CC54" t="n">
        <v>3</v>
      </c>
      <c r="CD54" t="n">
        <v>3</v>
      </c>
      <c r="CE54" t="n">
        <v>0</v>
      </c>
      <c r="CF54" t="n">
        <v>3</v>
      </c>
      <c r="CG54" t="n">
        <v>3</v>
      </c>
      <c r="CH54" t="n">
        <v>0</v>
      </c>
      <c r="CI54" t="n">
        <v>0</v>
      </c>
      <c r="CJ54" t="n">
        <v>3</v>
      </c>
      <c r="CK54" t="n">
        <v>3</v>
      </c>
      <c r="CL54" s="7" t="n">
        <v>117</v>
      </c>
    </row>
    <row r="55">
      <c r="A55" t="inlineStr">
        <is>
          <t>Preuss Jeremias</t>
        </is>
      </c>
      <c r="B55" t="inlineStr">
        <is>
          <t>M</t>
        </is>
      </c>
      <c r="C55" t="n">
        <v>31</v>
      </c>
      <c r="D55" t="n">
        <v>0</v>
      </c>
      <c r="E55" t="n">
        <v>0</v>
      </c>
      <c r="F55" t="n">
        <v>0</v>
      </c>
      <c r="H55" t="n">
        <v>0</v>
      </c>
      <c r="I55" t="n">
        <v>0</v>
      </c>
      <c r="J55" t="n">
        <v>1</v>
      </c>
      <c r="N55" t="n">
        <v>0</v>
      </c>
      <c r="T55" t="n">
        <v>0</v>
      </c>
      <c r="X55" s="98" t="n">
        <v>0</v>
      </c>
      <c r="Y55" t="n">
        <v>0</v>
      </c>
      <c r="Z55" t="n">
        <v>1</v>
      </c>
      <c r="AA55" t="n">
        <v>1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2</v>
      </c>
      <c r="AQ55" t="n">
        <v>1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CB55" s="98" t="n">
        <v>30</v>
      </c>
      <c r="CC55" t="n">
        <v>0</v>
      </c>
      <c r="CD55" t="n">
        <v>30</v>
      </c>
      <c r="CE55" t="n">
        <v>8</v>
      </c>
      <c r="CF55" t="n">
        <v>0</v>
      </c>
      <c r="CG55" t="n">
        <v>8</v>
      </c>
      <c r="CH55" t="n">
        <v>8</v>
      </c>
      <c r="CI55" t="n">
        <v>1</v>
      </c>
      <c r="CJ55" t="n">
        <v>38</v>
      </c>
      <c r="CK55" t="n">
        <v>9</v>
      </c>
      <c r="CL55" s="7" t="n">
        <v>69</v>
      </c>
    </row>
    <row r="56">
      <c r="A56" t="inlineStr">
        <is>
          <t>Preuss Jonas</t>
        </is>
      </c>
      <c r="B56" t="inlineStr">
        <is>
          <t>M</t>
        </is>
      </c>
      <c r="C56" t="n">
        <v>176</v>
      </c>
      <c r="D56" t="n">
        <v>0</v>
      </c>
      <c r="E56" t="n">
        <v>0</v>
      </c>
      <c r="F56" t="n">
        <v>0</v>
      </c>
      <c r="H56" t="n">
        <v>0</v>
      </c>
      <c r="I56" t="n">
        <v>0</v>
      </c>
      <c r="J56" t="n">
        <v>1</v>
      </c>
      <c r="L56" s="92" t="n"/>
      <c r="M56" t="n">
        <v>0</v>
      </c>
      <c r="N56" t="n">
        <v>0</v>
      </c>
      <c r="T56" t="n">
        <v>0</v>
      </c>
      <c r="X56" s="98" t="n">
        <v>0</v>
      </c>
      <c r="Y56" t="n">
        <v>0</v>
      </c>
      <c r="Z56" t="n">
        <v>0</v>
      </c>
      <c r="AA56" t="n">
        <v>2</v>
      </c>
      <c r="AB56" t="n">
        <v>0</v>
      </c>
      <c r="AC56" t="n">
        <v>2</v>
      </c>
      <c r="AD56" t="n">
        <v>0</v>
      </c>
      <c r="AE56" t="n">
        <v>2</v>
      </c>
      <c r="AF56" t="n">
        <v>0</v>
      </c>
      <c r="AG56" t="n">
        <v>2</v>
      </c>
      <c r="AH56" t="n">
        <v>1</v>
      </c>
      <c r="AI56" t="n">
        <v>0</v>
      </c>
      <c r="AJ56" t="n">
        <v>1</v>
      </c>
      <c r="AK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1</v>
      </c>
      <c r="AT56" t="n">
        <v>1</v>
      </c>
      <c r="AU56" t="n">
        <v>1</v>
      </c>
      <c r="AV56" t="n">
        <v>0</v>
      </c>
      <c r="AW56" t="n">
        <v>2</v>
      </c>
      <c r="AX56" t="n">
        <v>0</v>
      </c>
      <c r="AY56" t="n">
        <v>1</v>
      </c>
      <c r="AZ56" t="n">
        <v>0</v>
      </c>
      <c r="BA56" t="n">
        <v>1</v>
      </c>
      <c r="CB56" s="98" t="n">
        <v>27</v>
      </c>
      <c r="CC56" t="n">
        <v>0</v>
      </c>
      <c r="CD56" t="n">
        <v>27</v>
      </c>
      <c r="CE56" t="n">
        <v>18</v>
      </c>
      <c r="CF56" t="n">
        <v>0</v>
      </c>
      <c r="CG56" t="n">
        <v>18</v>
      </c>
      <c r="CH56" t="n">
        <v>9</v>
      </c>
      <c r="CI56" t="n">
        <v>1</v>
      </c>
      <c r="CJ56" t="n">
        <v>36</v>
      </c>
      <c r="CK56" t="n">
        <v>19</v>
      </c>
      <c r="CL56" s="7" t="n">
        <v>212</v>
      </c>
    </row>
    <row r="57">
      <c r="A57" s="92" t="inlineStr">
        <is>
          <t>Preuss Marius</t>
        </is>
      </c>
      <c r="B57" s="92" t="inlineStr">
        <is>
          <t>M</t>
        </is>
      </c>
      <c r="L57" t="n">
        <v>0</v>
      </c>
      <c r="M57" t="n">
        <v>0</v>
      </c>
      <c r="N57" t="n">
        <v>0</v>
      </c>
      <c r="V57" t="n">
        <v>0</v>
      </c>
      <c r="X57" s="98" t="inlineStr">
        <is>
          <t xml:space="preserve"> </t>
        </is>
      </c>
      <c r="BF57" t="n">
        <v>0</v>
      </c>
      <c r="BG57" t="n">
        <v>0</v>
      </c>
      <c r="BH57" t="n">
        <v>0</v>
      </c>
      <c r="BJ57" t="n">
        <v>0</v>
      </c>
      <c r="BL57" t="n">
        <v>0</v>
      </c>
      <c r="BM57" t="n">
        <v>0</v>
      </c>
      <c r="BW57" t="n">
        <v>0</v>
      </c>
      <c r="BX57" t="n">
        <v>0</v>
      </c>
      <c r="BZ57" t="n">
        <v>1</v>
      </c>
      <c r="CB57" s="98" t="n">
        <v>0</v>
      </c>
      <c r="CC57" t="n">
        <v>9</v>
      </c>
      <c r="CD57" t="n">
        <v>9</v>
      </c>
      <c r="CE57" t="n">
        <v>0</v>
      </c>
      <c r="CF57" t="n">
        <v>1</v>
      </c>
      <c r="CG57" t="n">
        <v>1</v>
      </c>
      <c r="CH57" t="n">
        <v>4</v>
      </c>
      <c r="CI57" t="n">
        <v>0</v>
      </c>
      <c r="CJ57" t="n">
        <v>13</v>
      </c>
      <c r="CK57" t="n">
        <v>1</v>
      </c>
      <c r="CL57" s="7" t="n">
        <v>13</v>
      </c>
    </row>
    <row r="58">
      <c r="A58" t="inlineStr">
        <is>
          <t>Preuss Philip</t>
        </is>
      </c>
      <c r="B58" t="inlineStr">
        <is>
          <t>M</t>
        </is>
      </c>
      <c r="C58" t="n">
        <v>72</v>
      </c>
      <c r="I58" t="n">
        <v>0</v>
      </c>
      <c r="N58" t="n">
        <v>0</v>
      </c>
      <c r="Q58" t="n">
        <v>0</v>
      </c>
      <c r="V58" t="n">
        <v>0</v>
      </c>
      <c r="X58" s="98" t="inlineStr">
        <is>
          <t xml:space="preserve"> </t>
        </is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</v>
      </c>
      <c r="BK58" t="n">
        <v>0</v>
      </c>
      <c r="BL58" t="n">
        <v>0</v>
      </c>
      <c r="BM58" t="n">
        <v>0</v>
      </c>
      <c r="BN58" t="n">
        <v>1</v>
      </c>
      <c r="BO58" t="n">
        <v>1</v>
      </c>
      <c r="BP58" t="n">
        <v>0</v>
      </c>
      <c r="BQ58" t="n">
        <v>0</v>
      </c>
      <c r="BR58" t="n">
        <v>0</v>
      </c>
      <c r="BT58" t="n">
        <v>0</v>
      </c>
      <c r="BV58" t="n">
        <v>0</v>
      </c>
      <c r="BW58" t="n">
        <v>0</v>
      </c>
      <c r="BX58" t="n">
        <v>0</v>
      </c>
      <c r="BY58" t="n">
        <v>1</v>
      </c>
      <c r="CB58" s="98" t="n">
        <v>0</v>
      </c>
      <c r="CC58" t="n">
        <v>19</v>
      </c>
      <c r="CD58" t="n">
        <v>19</v>
      </c>
      <c r="CE58" t="n">
        <v>0</v>
      </c>
      <c r="CF58" t="n">
        <v>4</v>
      </c>
      <c r="CG58" t="n">
        <v>4</v>
      </c>
      <c r="CH58" t="n">
        <v>4</v>
      </c>
      <c r="CI58" t="n">
        <v>0</v>
      </c>
      <c r="CJ58" t="n">
        <v>23</v>
      </c>
      <c r="CK58" t="n">
        <v>4</v>
      </c>
      <c r="CL58" s="7" t="n">
        <v>95</v>
      </c>
    </row>
    <row r="59">
      <c r="A59" t="inlineStr">
        <is>
          <t>Reuter J.</t>
        </is>
      </c>
      <c r="B59" t="inlineStr">
        <is>
          <t>M</t>
        </is>
      </c>
      <c r="C59" t="n">
        <v>132</v>
      </c>
      <c r="M59" t="n">
        <v>0</v>
      </c>
      <c r="Q59" t="n">
        <v>0</v>
      </c>
      <c r="T59" t="n">
        <v>0</v>
      </c>
      <c r="X59" s="98" t="inlineStr">
        <is>
          <t xml:space="preserve"> </t>
        </is>
      </c>
      <c r="Z59" t="n">
        <v>0</v>
      </c>
      <c r="AO59" t="n">
        <v>0</v>
      </c>
      <c r="AQ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Y59" t="n">
        <v>0</v>
      </c>
      <c r="AZ59" t="n">
        <v>0</v>
      </c>
      <c r="BA59" t="n">
        <v>0</v>
      </c>
      <c r="BQ59" t="n">
        <v>0</v>
      </c>
      <c r="CB59" s="98" t="n">
        <v>11</v>
      </c>
      <c r="CC59" t="n">
        <v>1</v>
      </c>
      <c r="CD59" t="n">
        <v>12</v>
      </c>
      <c r="CE59" t="n">
        <v>0</v>
      </c>
      <c r="CF59" t="n">
        <v>0</v>
      </c>
      <c r="CG59" t="n">
        <v>0</v>
      </c>
      <c r="CH59" t="n">
        <v>3</v>
      </c>
      <c r="CI59" t="n">
        <v>0</v>
      </c>
      <c r="CJ59" t="n">
        <v>15</v>
      </c>
      <c r="CK59" t="n">
        <v>0</v>
      </c>
      <c r="CL59" s="7" t="n">
        <v>147</v>
      </c>
    </row>
    <row r="60">
      <c r="A60" t="inlineStr">
        <is>
          <t>Roeder</t>
        </is>
      </c>
      <c r="B60" t="inlineStr">
        <is>
          <t>M</t>
        </is>
      </c>
      <c r="C60" t="n">
        <v>82</v>
      </c>
      <c r="V60" t="n">
        <v>0</v>
      </c>
      <c r="X60" s="98" t="inlineStr">
        <is>
          <t xml:space="preserve"> </t>
        </is>
      </c>
      <c r="BJ60" t="n">
        <v>0</v>
      </c>
      <c r="CB60" s="98" t="n">
        <v>0</v>
      </c>
      <c r="CC60" t="n">
        <v>1</v>
      </c>
      <c r="CD60" t="n">
        <v>1</v>
      </c>
      <c r="CE60" t="n">
        <v>0</v>
      </c>
      <c r="CF60" t="n">
        <v>0</v>
      </c>
      <c r="CG60" t="n">
        <v>0</v>
      </c>
      <c r="CH60" t="n">
        <v>1</v>
      </c>
      <c r="CI60" t="n">
        <v>0</v>
      </c>
      <c r="CJ60" t="n">
        <v>2</v>
      </c>
      <c r="CK60" t="n">
        <v>0</v>
      </c>
      <c r="CL60" s="7" t="n">
        <v>84</v>
      </c>
    </row>
    <row r="61">
      <c r="A61" t="inlineStr">
        <is>
          <t>Ruoff Ulli</t>
        </is>
      </c>
      <c r="B61" t="inlineStr">
        <is>
          <t>L</t>
        </is>
      </c>
      <c r="C61" s="56" t="n">
        <v>296</v>
      </c>
      <c r="H61" t="n">
        <v>0</v>
      </c>
      <c r="O61" t="n">
        <v>0</v>
      </c>
      <c r="Q61" t="n">
        <v>0</v>
      </c>
      <c r="V61" t="n">
        <v>0</v>
      </c>
      <c r="X61" s="98" t="inlineStr">
        <is>
          <t xml:space="preserve"> </t>
        </is>
      </c>
      <c r="AT61" t="n">
        <v>0</v>
      </c>
      <c r="BE61" t="n">
        <v>0</v>
      </c>
      <c r="BG61" t="n">
        <v>2</v>
      </c>
      <c r="BH61" t="n">
        <v>0</v>
      </c>
      <c r="BI61" t="n">
        <v>0</v>
      </c>
      <c r="BJ61" t="n">
        <v>0</v>
      </c>
      <c r="BO61" t="n">
        <v>0</v>
      </c>
      <c r="BQ61" t="n">
        <v>0</v>
      </c>
      <c r="BR61" t="n">
        <v>0</v>
      </c>
      <c r="BS61" t="n">
        <v>1</v>
      </c>
      <c r="BT61" t="n">
        <v>0</v>
      </c>
      <c r="BU61" t="n">
        <v>1</v>
      </c>
      <c r="BV61" t="n">
        <v>1</v>
      </c>
      <c r="BW61" t="n">
        <v>0</v>
      </c>
      <c r="BX61" t="n">
        <v>0</v>
      </c>
      <c r="BY61" t="n">
        <v>0</v>
      </c>
      <c r="BZ61" t="n">
        <v>0</v>
      </c>
      <c r="CB61" s="98" t="n">
        <v>1</v>
      </c>
      <c r="CC61" t="n">
        <v>16</v>
      </c>
      <c r="CD61" t="n">
        <v>17</v>
      </c>
      <c r="CE61" t="n">
        <v>0</v>
      </c>
      <c r="CF61" t="n">
        <v>5</v>
      </c>
      <c r="CG61" t="n">
        <v>5</v>
      </c>
      <c r="CH61" t="n">
        <v>4</v>
      </c>
      <c r="CI61" t="n">
        <v>0</v>
      </c>
      <c r="CJ61" t="n">
        <v>21</v>
      </c>
      <c r="CK61" t="n">
        <v>5</v>
      </c>
      <c r="CL61" s="7" t="n">
        <v>317</v>
      </c>
    </row>
    <row r="62">
      <c r="A62" t="inlineStr">
        <is>
          <t>Schaumann Seb</t>
        </is>
      </c>
      <c r="B62" t="inlineStr">
        <is>
          <t>M</t>
        </is>
      </c>
      <c r="C62" t="n">
        <v>42</v>
      </c>
      <c r="D62" t="n">
        <v>0</v>
      </c>
      <c r="E62" t="n">
        <v>0</v>
      </c>
      <c r="F62" t="n">
        <v>0</v>
      </c>
      <c r="I62" t="n">
        <v>1</v>
      </c>
      <c r="J62" t="n">
        <v>0</v>
      </c>
      <c r="N62" t="n">
        <v>0</v>
      </c>
      <c r="T62" t="n">
        <v>0</v>
      </c>
      <c r="X62" s="98" t="n">
        <v>0</v>
      </c>
      <c r="Y62" t="n">
        <v>0</v>
      </c>
      <c r="Z62" t="n">
        <v>0</v>
      </c>
      <c r="AB62" t="n">
        <v>1</v>
      </c>
      <c r="AC62" t="n">
        <v>2</v>
      </c>
      <c r="AD62" t="n">
        <v>1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2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0</v>
      </c>
      <c r="CB62" s="98" t="n">
        <v>28</v>
      </c>
      <c r="CC62" t="n">
        <v>0</v>
      </c>
      <c r="CD62" t="n">
        <v>28</v>
      </c>
      <c r="CE62" t="n">
        <v>10</v>
      </c>
      <c r="CF62" t="n">
        <v>0</v>
      </c>
      <c r="CG62" t="n">
        <v>10</v>
      </c>
      <c r="CH62" t="n">
        <v>7</v>
      </c>
      <c r="CI62" t="n">
        <v>1</v>
      </c>
      <c r="CJ62" t="n">
        <v>35</v>
      </c>
      <c r="CK62" t="n">
        <v>11</v>
      </c>
      <c r="CL62" s="7" t="n">
        <v>77</v>
      </c>
    </row>
    <row r="63">
      <c r="A63" t="inlineStr">
        <is>
          <t>Schwenk Kevin</t>
        </is>
      </c>
      <c r="B63" t="inlineStr">
        <is>
          <t>L</t>
        </is>
      </c>
      <c r="C63" t="n">
        <v>107</v>
      </c>
      <c r="I63" t="n">
        <v>0</v>
      </c>
      <c r="J63" t="n">
        <v>0</v>
      </c>
      <c r="L63" t="n">
        <v>0</v>
      </c>
      <c r="M63" t="n">
        <v>0</v>
      </c>
      <c r="N63" t="n">
        <v>0</v>
      </c>
      <c r="Q63" t="n">
        <v>0</v>
      </c>
      <c r="T63" t="n">
        <v>0</v>
      </c>
      <c r="V63" t="n">
        <v>0</v>
      </c>
      <c r="X63" s="98" t="inlineStr">
        <is>
          <t xml:space="preserve"> </t>
        </is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BP63" t="n">
        <v>0</v>
      </c>
      <c r="CB63" s="98" t="n">
        <v>20</v>
      </c>
      <c r="CC63" t="n">
        <v>1</v>
      </c>
      <c r="CD63" t="n">
        <v>21</v>
      </c>
      <c r="CE63" t="n">
        <v>0</v>
      </c>
      <c r="CF63" t="n">
        <v>0</v>
      </c>
      <c r="CG63" t="n">
        <v>0</v>
      </c>
      <c r="CH63" t="n">
        <v>8</v>
      </c>
      <c r="CI63" t="n">
        <v>0</v>
      </c>
      <c r="CJ63" t="n">
        <v>29</v>
      </c>
      <c r="CK63" t="n">
        <v>0</v>
      </c>
      <c r="CL63" s="7" t="n">
        <v>136</v>
      </c>
    </row>
    <row r="64">
      <c r="A64" t="inlineStr">
        <is>
          <t>Seidel Jan</t>
        </is>
      </c>
      <c r="X64" s="98" t="inlineStr">
        <is>
          <t xml:space="preserve"> </t>
        </is>
      </c>
      <c r="BR64" t="n">
        <v>1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Y64" t="n">
        <v>0</v>
      </c>
      <c r="CB64" s="98" t="n">
        <v>0</v>
      </c>
      <c r="CC64" t="n">
        <v>7</v>
      </c>
      <c r="CD64" t="n">
        <v>7</v>
      </c>
      <c r="CE64" t="n">
        <v>0</v>
      </c>
      <c r="CF64" t="n">
        <v>1</v>
      </c>
      <c r="CG64" t="n">
        <v>1</v>
      </c>
      <c r="CH64" t="n">
        <v>0</v>
      </c>
      <c r="CI64" t="n">
        <v>0</v>
      </c>
      <c r="CJ64" t="n">
        <v>7</v>
      </c>
      <c r="CK64" t="n">
        <v>1</v>
      </c>
      <c r="CL64" s="7" t="n">
        <v>7</v>
      </c>
    </row>
    <row r="65">
      <c r="A65" t="inlineStr">
        <is>
          <t>Sekinger Fabian</t>
        </is>
      </c>
      <c r="B65" t="inlineStr">
        <is>
          <t>L</t>
        </is>
      </c>
      <c r="C65" t="n">
        <v>19</v>
      </c>
      <c r="L65" t="n">
        <v>0</v>
      </c>
      <c r="M65" t="n">
        <v>0</v>
      </c>
      <c r="N65" t="n">
        <v>0</v>
      </c>
      <c r="O65" t="n">
        <v>0</v>
      </c>
      <c r="T65" t="n">
        <v>0</v>
      </c>
      <c r="V65" t="n">
        <v>0</v>
      </c>
      <c r="X65" s="98" t="inlineStr">
        <is>
          <t xml:space="preserve"> </t>
        </is>
      </c>
      <c r="AS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B65" s="98" t="n">
        <v>1</v>
      </c>
      <c r="CC65" t="n">
        <v>21</v>
      </c>
      <c r="CD65" t="n">
        <v>22</v>
      </c>
      <c r="CE65" t="n">
        <v>0</v>
      </c>
      <c r="CF65" t="n">
        <v>0</v>
      </c>
      <c r="CG65" t="n">
        <v>0</v>
      </c>
      <c r="CH65" t="n">
        <v>6</v>
      </c>
      <c r="CI65" t="n">
        <v>0</v>
      </c>
      <c r="CJ65" t="n">
        <v>28</v>
      </c>
      <c r="CK65" t="n">
        <v>0</v>
      </c>
      <c r="CL65" s="7" t="n">
        <v>47</v>
      </c>
    </row>
    <row r="66">
      <c r="A66" t="inlineStr">
        <is>
          <t>Staiger Elmar</t>
        </is>
      </c>
      <c r="B66" t="inlineStr">
        <is>
          <t>L</t>
        </is>
      </c>
      <c r="C66" s="56" t="n">
        <v>205</v>
      </c>
      <c r="X66" s="98" t="inlineStr">
        <is>
          <t xml:space="preserve"> </t>
        </is>
      </c>
      <c r="CB66" s="98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s="7" t="n">
        <v>205</v>
      </c>
    </row>
    <row r="67">
      <c r="A67" t="inlineStr">
        <is>
          <t>Staiger Tobias</t>
        </is>
      </c>
      <c r="B67" t="inlineStr">
        <is>
          <t>L</t>
        </is>
      </c>
      <c r="C67" s="56" t="n">
        <v>247</v>
      </c>
      <c r="X67" s="98" t="inlineStr">
        <is>
          <t xml:space="preserve"> </t>
        </is>
      </c>
      <c r="BF67" t="n">
        <v>0</v>
      </c>
      <c r="BU67" t="n">
        <v>0</v>
      </c>
      <c r="BV67" t="n">
        <v>1</v>
      </c>
      <c r="CB67" s="98" t="n">
        <v>0</v>
      </c>
      <c r="CC67" t="n">
        <v>3</v>
      </c>
      <c r="CD67" t="n">
        <v>3</v>
      </c>
      <c r="CE67" t="n">
        <v>0</v>
      </c>
      <c r="CF67" t="n">
        <v>1</v>
      </c>
      <c r="CG67" t="n">
        <v>1</v>
      </c>
      <c r="CH67" t="n">
        <v>0</v>
      </c>
      <c r="CI67" t="n">
        <v>0</v>
      </c>
      <c r="CJ67" t="n">
        <v>3</v>
      </c>
      <c r="CK67" t="n">
        <v>1</v>
      </c>
      <c r="CL67" s="7" t="n">
        <v>250</v>
      </c>
    </row>
    <row r="68">
      <c r="A68" t="inlineStr">
        <is>
          <t>Stein Matthias</t>
        </is>
      </c>
      <c r="B68" t="inlineStr">
        <is>
          <t>L</t>
        </is>
      </c>
      <c r="C68" s="56" t="n">
        <v>130</v>
      </c>
      <c r="X68" s="98" t="inlineStr">
        <is>
          <t xml:space="preserve"> </t>
        </is>
      </c>
      <c r="CB68" s="9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s="7" t="n">
        <v>130</v>
      </c>
    </row>
    <row r="69">
      <c r="A69" t="inlineStr">
        <is>
          <t>Stern Alexander</t>
        </is>
      </c>
      <c r="B69" t="inlineStr">
        <is>
          <t>M</t>
        </is>
      </c>
      <c r="C69" t="n">
        <v>55</v>
      </c>
      <c r="D69" t="n">
        <v>0</v>
      </c>
      <c r="E69" t="n">
        <v>0</v>
      </c>
      <c r="F69" t="n">
        <v>0</v>
      </c>
      <c r="H69" t="n">
        <v>0</v>
      </c>
      <c r="I69" s="92" t="n">
        <v>0</v>
      </c>
      <c r="J69" s="92" t="n">
        <v>0</v>
      </c>
      <c r="V69" t="n">
        <v>0</v>
      </c>
      <c r="X69" s="98" t="inlineStr">
        <is>
          <t xml:space="preserve"> </t>
        </is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CB69" s="98" t="n">
        <v>29</v>
      </c>
      <c r="CC69" t="n">
        <v>0</v>
      </c>
      <c r="CD69" t="n">
        <v>29</v>
      </c>
      <c r="CE69" t="n">
        <v>0</v>
      </c>
      <c r="CF69" t="n">
        <v>0</v>
      </c>
      <c r="CG69" t="n">
        <v>0</v>
      </c>
      <c r="CH69" t="n">
        <v>7</v>
      </c>
      <c r="CI69" t="n">
        <v>0</v>
      </c>
      <c r="CJ69" t="n">
        <v>36</v>
      </c>
      <c r="CK69" t="n">
        <v>0</v>
      </c>
      <c r="CL69" s="7" t="n">
        <v>91</v>
      </c>
    </row>
    <row r="70">
      <c r="A70" t="inlineStr">
        <is>
          <t>Storz Tobi</t>
        </is>
      </c>
      <c r="B70" t="inlineStr">
        <is>
          <t>M</t>
        </is>
      </c>
      <c r="C70" t="n">
        <v>107</v>
      </c>
      <c r="X70" s="98" t="inlineStr">
        <is>
          <t xml:space="preserve"> </t>
        </is>
      </c>
      <c r="CB70" s="98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s="7" t="n">
        <v>107</v>
      </c>
    </row>
    <row r="71">
      <c r="A71" t="inlineStr">
        <is>
          <t>Tramnitz Christoph</t>
        </is>
      </c>
      <c r="B71" t="inlineStr">
        <is>
          <t>L</t>
        </is>
      </c>
      <c r="C71" t="n">
        <v>71</v>
      </c>
      <c r="J71" t="n">
        <v>0</v>
      </c>
      <c r="T71" t="n">
        <v>0</v>
      </c>
      <c r="X71" s="98" t="n">
        <v>0</v>
      </c>
      <c r="Y71" t="n">
        <v>0</v>
      </c>
      <c r="Z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CB71" s="98" t="n">
        <v>25</v>
      </c>
      <c r="CC71" t="n">
        <v>0</v>
      </c>
      <c r="CD71" t="n">
        <v>25</v>
      </c>
      <c r="CE71" t="n">
        <v>1</v>
      </c>
      <c r="CF71" t="n">
        <v>0</v>
      </c>
      <c r="CG71" t="n">
        <v>1</v>
      </c>
      <c r="CH71" t="n">
        <v>2</v>
      </c>
      <c r="CI71" t="n">
        <v>0</v>
      </c>
      <c r="CJ71" t="n">
        <v>27</v>
      </c>
      <c r="CK71" t="n">
        <v>1</v>
      </c>
      <c r="CL71" s="7" t="n">
        <v>98</v>
      </c>
    </row>
    <row r="72">
      <c r="A72" t="inlineStr">
        <is>
          <t>Tramnitz Lukas</t>
        </is>
      </c>
      <c r="B72" t="inlineStr">
        <is>
          <t>L</t>
        </is>
      </c>
      <c r="C72" t="n">
        <v>0</v>
      </c>
      <c r="H72" t="n">
        <v>3</v>
      </c>
      <c r="I72" t="n">
        <v>0</v>
      </c>
      <c r="X72" s="98" t="inlineStr">
        <is>
          <t xml:space="preserve"> </t>
        </is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Z72" t="n">
        <v>0</v>
      </c>
      <c r="CB72" s="98" t="n">
        <v>10</v>
      </c>
      <c r="CC72" t="n">
        <v>0</v>
      </c>
      <c r="CD72" t="n">
        <v>10</v>
      </c>
      <c r="CE72" t="n">
        <v>0</v>
      </c>
      <c r="CF72" t="n">
        <v>0</v>
      </c>
      <c r="CG72" t="n">
        <v>0</v>
      </c>
      <c r="CH72" t="n">
        <v>2</v>
      </c>
      <c r="CI72" t="n">
        <v>3</v>
      </c>
      <c r="CJ72" t="n">
        <v>12</v>
      </c>
      <c r="CK72" t="n">
        <v>3</v>
      </c>
      <c r="CL72" s="7" t="n">
        <v>12</v>
      </c>
    </row>
    <row r="73">
      <c r="A73" t="inlineStr">
        <is>
          <t>Trenkle Jan</t>
        </is>
      </c>
      <c r="B73" t="inlineStr">
        <is>
          <t>M</t>
        </is>
      </c>
      <c r="C73" t="n">
        <v>29</v>
      </c>
      <c r="D73" t="n">
        <v>0</v>
      </c>
      <c r="E73" t="n">
        <v>0</v>
      </c>
      <c r="F73" t="n">
        <v>0</v>
      </c>
      <c r="H73" t="n">
        <v>0</v>
      </c>
      <c r="T73" t="n">
        <v>0</v>
      </c>
      <c r="X73" s="98" t="n">
        <v>0</v>
      </c>
      <c r="Z73" t="n">
        <v>0</v>
      </c>
      <c r="AA73" t="n">
        <v>0</v>
      </c>
      <c r="AB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T73" t="n">
        <v>0</v>
      </c>
      <c r="BU73" t="n">
        <v>0</v>
      </c>
      <c r="BX73" t="n">
        <v>3</v>
      </c>
      <c r="CB73" s="98" t="n">
        <v>12</v>
      </c>
      <c r="CC73" t="n">
        <v>2</v>
      </c>
      <c r="CD73" t="n">
        <v>14</v>
      </c>
      <c r="CE73" t="n">
        <v>0</v>
      </c>
      <c r="CF73" t="n">
        <v>3</v>
      </c>
      <c r="CG73" t="n">
        <v>3</v>
      </c>
      <c r="CH73" t="n">
        <v>5</v>
      </c>
      <c r="CI73" t="n">
        <v>0</v>
      </c>
      <c r="CJ73" t="n">
        <v>19</v>
      </c>
      <c r="CK73" t="n">
        <v>3</v>
      </c>
      <c r="CL73" s="7" t="n">
        <v>48</v>
      </c>
    </row>
    <row r="74">
      <c r="A74" t="inlineStr">
        <is>
          <t>Verino Roberto</t>
        </is>
      </c>
      <c r="B74" t="inlineStr">
        <is>
          <t>M</t>
        </is>
      </c>
      <c r="C74" t="n">
        <v>96</v>
      </c>
      <c r="X74" s="98" t="inlineStr">
        <is>
          <t xml:space="preserve"> </t>
        </is>
      </c>
      <c r="CB74" s="98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s="7" t="n">
        <v>96</v>
      </c>
    </row>
    <row r="75">
      <c r="A75" t="inlineStr">
        <is>
          <t>Zehnder Matze</t>
        </is>
      </c>
      <c r="B75" t="inlineStr">
        <is>
          <t>M</t>
        </is>
      </c>
      <c r="C75" t="n">
        <v>29</v>
      </c>
      <c r="M75" t="n">
        <v>0</v>
      </c>
      <c r="O75" t="n">
        <v>0</v>
      </c>
      <c r="X75" s="98" t="inlineStr">
        <is>
          <t xml:space="preserve"> </t>
        </is>
      </c>
      <c r="BE75" t="n">
        <v>0</v>
      </c>
      <c r="BF75" t="n">
        <v>0</v>
      </c>
      <c r="BG75" t="n">
        <v>0</v>
      </c>
      <c r="BH75" t="n">
        <v>1</v>
      </c>
      <c r="BI75" t="n">
        <v>2</v>
      </c>
      <c r="BK75" t="n">
        <v>0</v>
      </c>
      <c r="BL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X75" t="n">
        <v>0</v>
      </c>
      <c r="BY75" t="n">
        <v>0</v>
      </c>
      <c r="CB75" s="98" t="n">
        <v>0</v>
      </c>
      <c r="CC75" t="n">
        <v>18</v>
      </c>
      <c r="CD75" t="n">
        <v>18</v>
      </c>
      <c r="CE75" t="n">
        <v>0</v>
      </c>
      <c r="CF75" t="n">
        <v>3</v>
      </c>
      <c r="CG75" t="n">
        <v>3</v>
      </c>
      <c r="CH75" t="n">
        <v>2</v>
      </c>
      <c r="CI75" t="n">
        <v>0</v>
      </c>
      <c r="CJ75" t="n">
        <v>20</v>
      </c>
      <c r="CK75" t="n">
        <v>3</v>
      </c>
      <c r="CL75" s="7" t="n">
        <v>49</v>
      </c>
    </row>
  </sheetData>
  <mergeCells count="8">
    <mergeCell ref="E1:CL1"/>
    <mergeCell ref="R2:W2"/>
    <mergeCell ref="A2:A4"/>
    <mergeCell ref="C2:C4"/>
    <mergeCell ref="X2:CA2"/>
    <mergeCell ref="D2:Q2"/>
    <mergeCell ref="CB2:CL2"/>
    <mergeCell ref="B2:B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M80"/>
  <sheetViews>
    <sheetView topLeftCell="A4" workbookViewId="0">
      <selection activeCell="I86" sqref="I86"/>
    </sheetView>
  </sheetViews>
  <sheetFormatPr baseColWidth="10" defaultColWidth="9.140625" defaultRowHeight="12.75"/>
  <cols>
    <col width="18.5703125" bestFit="1" customWidth="1" style="91" min="1" max="1"/>
  </cols>
  <sheetData>
    <row r="1" ht="35.45" customHeight="1" s="91">
      <c r="E1" s="90" t="inlineStr">
        <is>
          <t>Saison 15/16</t>
        </is>
      </c>
    </row>
    <row r="2">
      <c r="A2" s="93" t="inlineStr">
        <is>
          <t>Spieler</t>
        </is>
      </c>
      <c r="B2" s="93" t="n"/>
      <c r="C2" s="95" t="inlineStr">
        <is>
          <t>Spiele bisher</t>
        </is>
      </c>
      <c r="D2" s="92" t="inlineStr">
        <is>
          <t>Freundschaftsspiele</t>
        </is>
      </c>
      <c r="S2" s="92" t="inlineStr">
        <is>
          <t>Pokalspiele</t>
        </is>
      </c>
      <c r="Y2" s="98" t="inlineStr">
        <is>
          <t>Punktspiele</t>
        </is>
      </c>
      <c r="CC2" s="98" t="inlineStr">
        <is>
          <t>Anzahl</t>
        </is>
      </c>
    </row>
    <row r="3">
      <c r="C3" s="96" t="n"/>
      <c r="D3" s="92" t="inlineStr">
        <is>
          <t>I</t>
        </is>
      </c>
      <c r="E3" s="92" t="inlineStr">
        <is>
          <t>I</t>
        </is>
      </c>
      <c r="F3" s="92" t="inlineStr">
        <is>
          <t>I</t>
        </is>
      </c>
      <c r="G3" s="92" t="inlineStr">
        <is>
          <t>I</t>
        </is>
      </c>
      <c r="H3" s="92" t="inlineStr">
        <is>
          <t>I</t>
        </is>
      </c>
      <c r="I3" s="92" t="inlineStr">
        <is>
          <t>I</t>
        </is>
      </c>
      <c r="J3" s="92" t="inlineStr">
        <is>
          <t>I</t>
        </is>
      </c>
      <c r="K3" s="92" t="inlineStr">
        <is>
          <t>I</t>
        </is>
      </c>
      <c r="M3" s="92" t="inlineStr">
        <is>
          <t>II</t>
        </is>
      </c>
      <c r="N3" s="92" t="inlineStr">
        <is>
          <t>II</t>
        </is>
      </c>
      <c r="O3" s="92" t="inlineStr">
        <is>
          <t>II</t>
        </is>
      </c>
      <c r="P3" s="92" t="inlineStr">
        <is>
          <t>II</t>
        </is>
      </c>
      <c r="Q3" s="92" t="n"/>
      <c r="R3" s="92" t="n"/>
      <c r="S3" s="92" t="n"/>
      <c r="U3" s="92" t="inlineStr">
        <is>
          <t>I</t>
        </is>
      </c>
      <c r="V3" s="92" t="inlineStr">
        <is>
          <t>II</t>
        </is>
      </c>
      <c r="W3" s="92" t="n"/>
      <c r="Y3" s="51" t="inlineStr">
        <is>
          <t>I</t>
        </is>
      </c>
      <c r="Z3" s="92" t="inlineStr">
        <is>
          <t>I</t>
        </is>
      </c>
      <c r="AA3" s="92" t="inlineStr">
        <is>
          <t>I</t>
        </is>
      </c>
      <c r="AB3" s="92" t="inlineStr">
        <is>
          <t>I</t>
        </is>
      </c>
      <c r="AC3" s="92" t="inlineStr">
        <is>
          <t>I</t>
        </is>
      </c>
      <c r="AD3" s="92" t="inlineStr">
        <is>
          <t>I</t>
        </is>
      </c>
      <c r="AE3" s="92" t="inlineStr">
        <is>
          <t>I</t>
        </is>
      </c>
      <c r="AF3" s="92" t="inlineStr">
        <is>
          <t>I</t>
        </is>
      </c>
      <c r="AG3" s="92" t="inlineStr">
        <is>
          <t>I</t>
        </is>
      </c>
      <c r="AH3" s="92" t="inlineStr">
        <is>
          <t>I</t>
        </is>
      </c>
      <c r="AI3" s="92" t="inlineStr">
        <is>
          <t>I</t>
        </is>
      </c>
      <c r="AJ3" s="92" t="inlineStr">
        <is>
          <t>I</t>
        </is>
      </c>
      <c r="AK3" s="92" t="inlineStr">
        <is>
          <t>I</t>
        </is>
      </c>
      <c r="AL3" s="92" t="inlineStr">
        <is>
          <t>I</t>
        </is>
      </c>
      <c r="AM3" s="92" t="inlineStr">
        <is>
          <t>I</t>
        </is>
      </c>
      <c r="AN3" s="92" t="inlineStr">
        <is>
          <t>I</t>
        </is>
      </c>
      <c r="AO3" s="92" t="inlineStr">
        <is>
          <t>I</t>
        </is>
      </c>
      <c r="AP3" s="92" t="inlineStr">
        <is>
          <t>I</t>
        </is>
      </c>
      <c r="AQ3" s="92" t="inlineStr">
        <is>
          <t>I</t>
        </is>
      </c>
      <c r="AR3" s="92" t="inlineStr">
        <is>
          <t>I</t>
        </is>
      </c>
      <c r="AS3" s="92" t="inlineStr">
        <is>
          <t>I</t>
        </is>
      </c>
      <c r="AT3" s="92" t="inlineStr">
        <is>
          <t>I</t>
        </is>
      </c>
      <c r="AU3" s="92" t="inlineStr">
        <is>
          <t>I</t>
        </is>
      </c>
      <c r="AV3" s="92" t="inlineStr">
        <is>
          <t>I</t>
        </is>
      </c>
      <c r="AW3" s="92" t="inlineStr">
        <is>
          <t>I</t>
        </is>
      </c>
      <c r="AX3" s="92" t="inlineStr">
        <is>
          <t>I</t>
        </is>
      </c>
      <c r="AY3" s="92" t="inlineStr">
        <is>
          <t>I</t>
        </is>
      </c>
      <c r="AZ3" s="92" t="inlineStr">
        <is>
          <t>I</t>
        </is>
      </c>
      <c r="BA3" s="92" t="inlineStr">
        <is>
          <t>I</t>
        </is>
      </c>
      <c r="BB3" s="92" t="inlineStr">
        <is>
          <t>I</t>
        </is>
      </c>
      <c r="BC3" s="92" t="inlineStr">
        <is>
          <t>I</t>
        </is>
      </c>
      <c r="BD3" s="92" t="inlineStr">
        <is>
          <t>I</t>
        </is>
      </c>
      <c r="BE3" s="92" t="inlineStr">
        <is>
          <t>I</t>
        </is>
      </c>
      <c r="BF3" s="92" t="inlineStr">
        <is>
          <t>I</t>
        </is>
      </c>
      <c r="BG3" s="92" t="n"/>
      <c r="BH3" s="92" t="inlineStr">
        <is>
          <t>II</t>
        </is>
      </c>
      <c r="BI3" s="92" t="inlineStr">
        <is>
          <t>II</t>
        </is>
      </c>
      <c r="BJ3" s="92" t="inlineStr">
        <is>
          <t>II</t>
        </is>
      </c>
      <c r="BK3" s="92" t="inlineStr">
        <is>
          <t>II</t>
        </is>
      </c>
      <c r="BL3" s="92" t="inlineStr">
        <is>
          <t>II</t>
        </is>
      </c>
      <c r="BM3" s="92" t="inlineStr">
        <is>
          <t>II</t>
        </is>
      </c>
      <c r="BN3" s="92" t="inlineStr">
        <is>
          <t>II</t>
        </is>
      </c>
      <c r="BO3" s="92" t="inlineStr">
        <is>
          <t>II</t>
        </is>
      </c>
      <c r="BP3" s="92" t="inlineStr">
        <is>
          <t>II</t>
        </is>
      </c>
      <c r="BQ3" s="92" t="inlineStr">
        <is>
          <t>II</t>
        </is>
      </c>
      <c r="BR3" s="92" t="inlineStr">
        <is>
          <t>II</t>
        </is>
      </c>
      <c r="BS3" s="92" t="inlineStr">
        <is>
          <t>II</t>
        </is>
      </c>
      <c r="BT3" s="92" t="inlineStr">
        <is>
          <t>II</t>
        </is>
      </c>
      <c r="BU3" s="92" t="inlineStr">
        <is>
          <t>II</t>
        </is>
      </c>
      <c r="BV3" s="92" t="inlineStr">
        <is>
          <t>II</t>
        </is>
      </c>
      <c r="BW3" s="92" t="inlineStr">
        <is>
          <t>II</t>
        </is>
      </c>
      <c r="BX3" s="92" t="inlineStr">
        <is>
          <t>II</t>
        </is>
      </c>
      <c r="BY3" s="92" t="inlineStr">
        <is>
          <t>II</t>
        </is>
      </c>
      <c r="BZ3" s="92" t="inlineStr">
        <is>
          <t>II</t>
        </is>
      </c>
      <c r="CA3" s="92" t="inlineStr">
        <is>
          <t>II</t>
        </is>
      </c>
      <c r="CB3" s="92" t="inlineStr">
        <is>
          <t>II</t>
        </is>
      </c>
      <c r="CC3" s="98" t="inlineStr">
        <is>
          <t xml:space="preserve"> </t>
        </is>
      </c>
      <c r="CD3" s="42" t="n"/>
      <c r="CE3" s="42" t="n"/>
      <c r="CF3" s="42" t="n"/>
      <c r="CG3" s="42" t="n"/>
      <c r="CH3" s="42" t="n"/>
      <c r="CI3" s="42" t="n"/>
      <c r="CJ3" s="42" t="n"/>
    </row>
    <row r="4" ht="355.15" customHeight="1" s="91">
      <c r="A4" s="94" t="n"/>
      <c r="B4" s="94" t="n"/>
      <c r="C4" s="97" t="n"/>
      <c r="D4" s="52" t="inlineStr">
        <is>
          <t>Sa, 18.07.15 SG Buchenberg/​Neuhausen : SGM Mariazell/​Locherhof</t>
        </is>
      </c>
      <c r="E4" s="57" t="inlineStr">
        <is>
          <t>Sa, 01.08.15 FC Dunningen : SGM Mariazell/​Locherhof</t>
        </is>
      </c>
      <c r="F4" s="52" t="inlineStr">
        <is>
          <t>Sa, 15.08.15 SGM Mariazell/​Locherhof : SV Seedorf II</t>
        </is>
      </c>
      <c r="G4" s="52" t="inlineStr">
        <is>
          <t>Di, 18.08.15 SGM Mariazell/​Locherhof : Spvgg 08 Schramberg</t>
        </is>
      </c>
      <c r="H4" s="42" t="inlineStr">
        <is>
          <t>Mi, 17.02.16 SV Gosheim : SGM Mariazell/​Locherhof</t>
        </is>
      </c>
      <c r="I4" s="57" t="inlineStr">
        <is>
          <t>Mi, 24.02.16 FV Tennenbronn 2 : SGM Mariazell/​Locherhof</t>
        </is>
      </c>
      <c r="J4" s="57" t="inlineStr">
        <is>
          <t>Sa, 27.02.16 SGM Aichhalden/​Rötenberg II : SGM Mariazell/​Locherhof</t>
        </is>
      </c>
      <c r="K4" s="52" t="inlineStr">
        <is>
          <t>Sa, 05.03.16 Spvgg 08 Schramberg : SGM Mariazell/​Locherhof</t>
        </is>
      </c>
      <c r="L4" s="42" t="n"/>
      <c r="M4" s="52" t="inlineStr">
        <is>
          <t>Di, 04.08.15 SGM Mariazell/​Locherhof II : Spvgg 08 Schramberg II</t>
        </is>
      </c>
      <c r="N4" s="45" t="inlineStr">
        <is>
          <t>So, 09.08.15 SGM Mariazell/​Locherhof : Spvgg Bochingen II</t>
        </is>
      </c>
      <c r="O4" s="57" t="inlineStr">
        <is>
          <t>So, 06.03.16 Spvgg Stetten-Lackendorf : SGM Mariazell/​Locherhof II</t>
        </is>
      </c>
      <c r="P4" s="57" t="inlineStr">
        <is>
          <t>Sa, 12.03.16 SGM Mariazell/​Locherhof II : FC Weiler</t>
        </is>
      </c>
      <c r="Q4" s="53" t="inlineStr">
        <is>
          <t xml:space="preserve"> </t>
        </is>
      </c>
      <c r="R4" s="45" t="n"/>
      <c r="S4" s="53" t="inlineStr">
        <is>
          <t xml:space="preserve"> </t>
        </is>
      </c>
      <c r="T4" s="43" t="inlineStr">
        <is>
          <t xml:space="preserve"> </t>
        </is>
      </c>
      <c r="U4" s="58" t="inlineStr">
        <is>
          <t>Di, 01.09.15 SGM Mariazell/​Locherhof : SV Gosheim</t>
        </is>
      </c>
      <c r="V4" s="52" t="inlineStr">
        <is>
          <t>Mi, 02.09.15 SGM riazell/​Locherhof II : SC Wellendingen</t>
        </is>
      </c>
      <c r="W4" s="52" t="inlineStr">
        <is>
          <t xml:space="preserve"> </t>
        </is>
      </c>
      <c r="X4" s="54" t="inlineStr">
        <is>
          <t xml:space="preserve"> </t>
        </is>
      </c>
      <c r="Y4" s="45" t="inlineStr">
        <is>
          <t>So, 23.08.15  FC Epfendorf : SGM Mariazell/​Locherhof</t>
        </is>
      </c>
      <c r="Z4" s="45" t="inlineStr">
        <is>
          <t>Do, 27.08.15 Spielfrei</t>
        </is>
      </c>
      <c r="AA4" s="45" t="inlineStr">
        <is>
          <t>So, 30.08.15  SGM Mariazell/​Locherhof : SV Herrenzimmern</t>
        </is>
      </c>
      <c r="AB4" s="45" t="inlineStr">
        <is>
          <t>So, 06.09.15  FV 08 Rottweil II : SGM Mariazell/​Locherhof</t>
        </is>
      </c>
      <c r="AC4" s="45" t="inlineStr">
        <is>
          <t>Sa, 12.09.15 SGM Mariazell/​Locherhof : SV Waldmössingen</t>
        </is>
      </c>
      <c r="AD4" s="58" t="inlineStr">
        <is>
          <t>Do, 17.09.15 FC Hardt : SGM Mariazell/​Locherhof</t>
        </is>
      </c>
      <c r="AE4" s="45" t="inlineStr">
        <is>
          <t>So, 20.09.15 SGM Mariazell/​Locherhof : SV Winzeln</t>
        </is>
      </c>
      <c r="AF4" s="45" t="inlineStr">
        <is>
          <t>So, 27.09.15  SC Lindenhof : SGM Mariazell/​Locherhof</t>
        </is>
      </c>
      <c r="AG4" s="45" t="inlineStr">
        <is>
          <t>Do, 01.10.15 SGM Mariazell/​Locherhof : SV Sulgen</t>
        </is>
      </c>
      <c r="AH4" s="45" t="inlineStr">
        <is>
          <t>So, 04.10.15  FC Dietingen : SGM Mariazell/​Locherhof</t>
        </is>
      </c>
      <c r="AI4" s="45" t="inlineStr">
        <is>
          <t>So, 11.10.15  SGM Mariazell/​Locherhof : SV Horgen</t>
        </is>
      </c>
      <c r="AJ4" s="45" t="inlineStr">
        <is>
          <t>So, 18.10.15 VfL Fluorn : SGM Mariazell/​Locherhof</t>
        </is>
      </c>
      <c r="AK4" s="45" t="inlineStr">
        <is>
          <t>So, 25.10.15 SGM Mariazell/​Locherhof : FC Suebia Rottweil</t>
        </is>
      </c>
      <c r="AL4" s="45" t="inlineStr">
        <is>
          <t>Sa, 31.10.15  SV Zimmern o.R. II : SGM Mariazell/​Locherhof</t>
        </is>
      </c>
      <c r="AM4" s="45" t="inlineStr">
        <is>
          <t>So, 08.11.15  SGM Mariazell/​Locherhof : SGM SV Beffendorf/​VfB Bösingen III</t>
        </is>
      </c>
      <c r="AN4" s="45" t="inlineStr">
        <is>
          <t>So, 15.11.15  SV Irslingen : SGM Mariazell/​Locherhof</t>
        </is>
      </c>
      <c r="AO4" s="45" t="inlineStr">
        <is>
          <t>Sa, 21.11.15 SGM Mariazell/​Locherhof : FSV Zepfenhan</t>
        </is>
      </c>
      <c r="AP4" s="45" t="inlineStr">
        <is>
          <t>Do, 17.03.16 SGM Mariazell/​Locherhof : FC Epfendorf</t>
        </is>
      </c>
      <c r="AQ4" s="45" t="inlineStr">
        <is>
          <t>So, 06.03.16 Spielfrei</t>
        </is>
      </c>
      <c r="AR4" s="45" t="inlineStr">
        <is>
          <t>So, 13.03.16  SV Herrenzimmern : SGM Mariazell/​Locherhof</t>
        </is>
      </c>
      <c r="AS4" s="45" t="inlineStr">
        <is>
          <t>So, 20.03.16 SGM Mariazell/​Locherhof : FV 08 Rottweil II</t>
        </is>
      </c>
      <c r="AT4" s="45" t="inlineStr">
        <is>
          <t>Sa, 26.03.16 SV Waldmössingen : SGM Mariazell/​Locherhof</t>
        </is>
      </c>
      <c r="AU4" s="58" t="inlineStr">
        <is>
          <t>Do, 31.03.16  SGM Mariazell/​Locherhof : FC Hardt</t>
        </is>
      </c>
      <c r="AV4" s="45" t="inlineStr">
        <is>
          <t>So, 03.04.16 SV Winzeln : SGM Mariazell/​Locherhof</t>
        </is>
      </c>
      <c r="AW4" s="45" t="inlineStr">
        <is>
          <t>So, 10.04.16  SGM Mariazell/​Locherhof : SC Lindenhof</t>
        </is>
      </c>
      <c r="AX4" s="45" t="inlineStr">
        <is>
          <t>So, 17.04.16 SV Sulgen : SGM Mariazell/​Locherhof</t>
        </is>
      </c>
      <c r="AY4" s="45" t="inlineStr">
        <is>
          <t>So, 24.04.16 SGM Mariazell/​Locherhof : FC Dietingen</t>
        </is>
      </c>
      <c r="AZ4" s="45" t="inlineStr">
        <is>
          <t>Do, 28.04.16  SV Horgen : SGM Mariazell/​Locherhof</t>
        </is>
      </c>
      <c r="BA4" s="45" t="inlineStr">
        <is>
          <t>Sa, 30.04.16 SGM Mariazell/​Locherhof : VfL Fluorn</t>
        </is>
      </c>
      <c r="BB4" s="45" t="inlineStr">
        <is>
          <t>So, 08.05.16  FC Suebia Rottweil : SGM Mariazell/​Locherhof</t>
        </is>
      </c>
      <c r="BC4" s="58" t="inlineStr">
        <is>
          <t>Sa, 14.05.16 SGM Mariazell/​Locherhof : SV Zimmern o.R. II</t>
        </is>
      </c>
      <c r="BD4" s="45" t="inlineStr">
        <is>
          <t>So, 22.05.16 SGM SV Beffendorf/​VfB Bösingen III : SGM Mariazell/​Locherhof</t>
        </is>
      </c>
      <c r="BE4" s="45" t="inlineStr">
        <is>
          <t>So, 29.05.16 SGM Mariazell/​Locherhof : SV Irslingen</t>
        </is>
      </c>
      <c r="BF4" s="45" t="inlineStr">
        <is>
          <t>So, 05.06.16  FSV Zepfenhan : SGM Mariazell/​Locherhof</t>
        </is>
      </c>
      <c r="BG4" s="59" t="inlineStr">
        <is>
          <t xml:space="preserve"> </t>
        </is>
      </c>
      <c r="BH4" s="45" t="inlineStr">
        <is>
          <t>So, 30.08.15 Spvgg Oberndorf II : SGM Mariazell/​Locherhof II</t>
        </is>
      </c>
      <c r="BI4" s="45" t="inlineStr">
        <is>
          <t>So, 13.09.15 SGM Mariazell/​Locherhof II : SV Winzeln II</t>
        </is>
      </c>
      <c r="BJ4" s="45" t="inlineStr">
        <is>
          <t>So, 20.09.15  FC Hardt II : SGM Mariazell/​Locherhof II</t>
        </is>
      </c>
      <c r="BK4" s="45" t="inlineStr">
        <is>
          <t xml:space="preserve">So, 27.09.15 SGM Mariazell/​Locherhof II : Spvgg Stetten-Lackendorf II </t>
        </is>
      </c>
      <c r="BL4" s="45" t="inlineStr">
        <is>
          <t>So, 04.10.15 SC Lindenhof II : SGM Mariazell/​Locherhof II</t>
        </is>
      </c>
      <c r="BM4" s="45" t="inlineStr">
        <is>
          <t>So, 11.10.15 SGM Mariazell/​Locherhof II : SV Sulgen II</t>
        </is>
      </c>
      <c r="BN4" s="45" t="inlineStr">
        <is>
          <t>So, 18.10.15 SV Herrenzimmern II : SGM Mariazell/​Locherhof II</t>
        </is>
      </c>
      <c r="BO4" s="45" t="inlineStr">
        <is>
          <t>So, 25.10.15 SGM Mariazell/​Locherhof II : FC Dunningen II</t>
        </is>
      </c>
      <c r="BP4" s="45" t="inlineStr">
        <is>
          <t>Sa, 21.11.15  FV Kickers Lauterbach II : SGM Mariazell/​Locherhof II</t>
        </is>
      </c>
      <c r="BQ4" s="45" t="inlineStr">
        <is>
          <t>So, 08.11.15 SGM Mariazell/​Locherhof II : SGM Aichhalden/​Rötenberg III</t>
        </is>
      </c>
      <c r="BR4" s="45" t="inlineStr">
        <is>
          <t>So, 15.11.15  SGM Mariazell/​Locherhof II : Spvgg Oberndorf II</t>
        </is>
      </c>
      <c r="BS4" s="45" t="inlineStr">
        <is>
          <t>So, 20.03.16 Spielfrei</t>
        </is>
      </c>
      <c r="BT4" s="45" t="inlineStr">
        <is>
          <t>So, 03.04.16  SV Winzeln II : SGM Mariazell/​Locherhof II</t>
        </is>
      </c>
      <c r="BU4" s="45" t="inlineStr">
        <is>
          <t>So, 10.04.16 SGM Mariazell/​Locherhof II : FC Hardt II</t>
        </is>
      </c>
      <c r="BV4" s="45" t="inlineStr">
        <is>
          <t>So, 17.04.16 Spvgg Stetten-Lackendorf II : SGM Mariazell/​Locherhof II</t>
        </is>
      </c>
      <c r="BW4" s="45" t="inlineStr">
        <is>
          <t>So, 24.04.16 SGM Mariazell/​Locherhof II : SC Lindenhof II</t>
        </is>
      </c>
      <c r="BX4" s="45" t="inlineStr">
        <is>
          <t>Mi, 04.05.16 SV Sulgen II : SGM Mariazell/​Locherhof II</t>
        </is>
      </c>
      <c r="BY4" s="45" t="inlineStr">
        <is>
          <t>So, 08.05.16  SGM Mariazell/​Locherhof II : SV Herrenzimmern II</t>
        </is>
      </c>
      <c r="BZ4" s="45" t="inlineStr">
        <is>
          <t>So, 22.05.16  FC Dunningen II : SGM Mariazell/​Locherhof II</t>
        </is>
      </c>
      <c r="CA4" s="45" t="inlineStr">
        <is>
          <t>So, 29.05.16  SGM Mariazell/​Locherhof II : FV Kickers Lauterbach II</t>
        </is>
      </c>
      <c r="CB4" s="45" t="inlineStr">
        <is>
          <t>So, 05.06.16 SGM Aichhalden/​Rötenberg III : SGM Mariazell/​Locherhof II</t>
        </is>
      </c>
      <c r="CC4" s="46" t="inlineStr">
        <is>
          <t>Punktspiele I</t>
        </is>
      </c>
      <c r="CD4" s="43" t="inlineStr">
        <is>
          <t>Punktspiele II</t>
        </is>
      </c>
      <c r="CE4" s="43" t="inlineStr">
        <is>
          <t>Punktspiele I+II</t>
        </is>
      </c>
      <c r="CF4" s="43" t="inlineStr">
        <is>
          <t>Tore Punktspiele I</t>
        </is>
      </c>
      <c r="CG4" s="43" t="inlineStr">
        <is>
          <t>Tore Punktspiele II</t>
        </is>
      </c>
      <c r="CH4" s="43" t="inlineStr">
        <is>
          <t>Tore Punktspiele I+II</t>
        </is>
      </c>
      <c r="CI4" s="43" t="inlineStr">
        <is>
          <t>Freundschaftssp.</t>
        </is>
      </c>
      <c r="CJ4" s="43" t="inlineStr">
        <is>
          <t>Tore Freundschaftssp.</t>
        </is>
      </c>
      <c r="CK4" s="43" t="inlineStr">
        <is>
          <t>Spiele</t>
        </is>
      </c>
      <c r="CL4" s="43" t="inlineStr">
        <is>
          <t>Tore</t>
        </is>
      </c>
      <c r="CM4" s="6" t="inlineStr">
        <is>
          <t>Spiele gesamt</t>
        </is>
      </c>
    </row>
    <row r="5">
      <c r="A5" t="inlineStr">
        <is>
          <t>Aichele Thomas</t>
        </is>
      </c>
      <c r="B5" t="inlineStr">
        <is>
          <t>L</t>
        </is>
      </c>
      <c r="C5" t="n">
        <v>131</v>
      </c>
      <c r="Y5" s="98" t="inlineStr">
        <is>
          <t xml:space="preserve"> </t>
        </is>
      </c>
      <c r="BG5" s="60" t="inlineStr">
        <is>
          <t xml:space="preserve"> </t>
        </is>
      </c>
      <c r="CC5" s="98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s="7" t="n">
        <v>131</v>
      </c>
    </row>
    <row r="6">
      <c r="A6" t="inlineStr">
        <is>
          <t>Auber Armin</t>
        </is>
      </c>
      <c r="B6" t="inlineStr">
        <is>
          <t>M</t>
        </is>
      </c>
      <c r="C6" t="n">
        <v>23</v>
      </c>
      <c r="Y6" s="98" t="inlineStr">
        <is>
          <t xml:space="preserve"> </t>
        </is>
      </c>
      <c r="BG6" s="60" t="inlineStr">
        <is>
          <t xml:space="preserve"> </t>
        </is>
      </c>
      <c r="BJ6" t="n">
        <v>0</v>
      </c>
      <c r="BK6" t="n">
        <v>0</v>
      </c>
      <c r="BO6" t="n">
        <v>0</v>
      </c>
      <c r="BP6" t="n">
        <v>0</v>
      </c>
      <c r="BV6" t="n">
        <v>1</v>
      </c>
      <c r="BY6" t="n">
        <v>0</v>
      </c>
      <c r="CA6" t="n">
        <v>0</v>
      </c>
      <c r="CC6" s="98" t="n">
        <v>0</v>
      </c>
      <c r="CD6" t="n">
        <v>7</v>
      </c>
      <c r="CE6" t="n">
        <v>7</v>
      </c>
      <c r="CF6" t="n">
        <v>0</v>
      </c>
      <c r="CG6" t="n">
        <v>1</v>
      </c>
      <c r="CH6" t="n">
        <v>1</v>
      </c>
      <c r="CI6" t="n">
        <v>0</v>
      </c>
      <c r="CJ6" t="n">
        <v>0</v>
      </c>
      <c r="CK6" t="n">
        <v>7</v>
      </c>
      <c r="CL6" t="n">
        <v>1</v>
      </c>
      <c r="CM6" s="7" t="n">
        <v>30</v>
      </c>
    </row>
    <row r="7">
      <c r="A7" t="inlineStr">
        <is>
          <t>Auber Axel</t>
        </is>
      </c>
      <c r="B7" t="inlineStr">
        <is>
          <t>M</t>
        </is>
      </c>
      <c r="C7" t="n">
        <v>382</v>
      </c>
      <c r="Y7" s="98" t="inlineStr">
        <is>
          <t xml:space="preserve"> </t>
        </is>
      </c>
      <c r="BG7" s="60" t="inlineStr">
        <is>
          <t xml:space="preserve"> </t>
        </is>
      </c>
      <c r="CC7" s="98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s="7" t="n">
        <v>382</v>
      </c>
    </row>
    <row r="8">
      <c r="A8" t="inlineStr">
        <is>
          <t>Auber Manuel</t>
        </is>
      </c>
      <c r="C8" t="n">
        <v>0</v>
      </c>
      <c r="Y8" s="98" t="inlineStr">
        <is>
          <t xml:space="preserve"> </t>
        </is>
      </c>
      <c r="BG8" s="60" t="inlineStr">
        <is>
          <t xml:space="preserve"> </t>
        </is>
      </c>
      <c r="CB8" t="n">
        <v>0</v>
      </c>
      <c r="CC8" s="98" t="n">
        <v>0</v>
      </c>
      <c r="CD8" t="n">
        <v>1</v>
      </c>
      <c r="CE8" t="n">
        <v>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s="7" t="n">
        <v>1</v>
      </c>
    </row>
    <row r="9">
      <c r="A9" t="inlineStr">
        <is>
          <t>Augstein M</t>
        </is>
      </c>
      <c r="B9" t="inlineStr">
        <is>
          <t>L</t>
        </is>
      </c>
      <c r="C9" s="56" t="n">
        <v>266</v>
      </c>
      <c r="Y9" s="98" t="inlineStr">
        <is>
          <t xml:space="preserve"> </t>
        </is>
      </c>
      <c r="BG9" s="60" t="inlineStr">
        <is>
          <t xml:space="preserve"> </t>
        </is>
      </c>
      <c r="BH9" t="n">
        <v>0</v>
      </c>
      <c r="BN9" t="n">
        <v>0</v>
      </c>
      <c r="BR9" t="n">
        <v>0</v>
      </c>
      <c r="CC9" s="98" t="n">
        <v>0</v>
      </c>
      <c r="CD9" t="n">
        <v>3</v>
      </c>
      <c r="CE9" t="n">
        <v>3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3</v>
      </c>
      <c r="CL9" t="n">
        <v>0</v>
      </c>
      <c r="CM9" s="7" t="n">
        <v>269</v>
      </c>
    </row>
    <row r="10">
      <c r="A10" t="inlineStr">
        <is>
          <t>Bannert Dirk</t>
        </is>
      </c>
      <c r="B10" t="inlineStr">
        <is>
          <t>L</t>
        </is>
      </c>
      <c r="C10" s="56" t="n">
        <v>273</v>
      </c>
      <c r="Y10" s="98" t="inlineStr">
        <is>
          <t xml:space="preserve"> </t>
        </is>
      </c>
      <c r="BG10" s="60" t="inlineStr">
        <is>
          <t xml:space="preserve"> </t>
        </is>
      </c>
      <c r="CC10" s="98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s="7" t="n">
        <v>273</v>
      </c>
    </row>
    <row r="11">
      <c r="A11" t="inlineStr">
        <is>
          <t>Bekir Kilic</t>
        </is>
      </c>
      <c r="B11" t="inlineStr">
        <is>
          <t>L</t>
        </is>
      </c>
      <c r="C11" s="56" t="n">
        <v>137</v>
      </c>
      <c r="Y11" s="98" t="inlineStr">
        <is>
          <t xml:space="preserve"> </t>
        </is>
      </c>
      <c r="BG11" s="60" t="inlineStr">
        <is>
          <t xml:space="preserve"> </t>
        </is>
      </c>
      <c r="CC11" s="98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s="7" t="n">
        <v>137</v>
      </c>
    </row>
    <row r="12">
      <c r="A12" t="inlineStr">
        <is>
          <t>Benner, Florian</t>
        </is>
      </c>
      <c r="B12" t="inlineStr">
        <is>
          <t>M</t>
        </is>
      </c>
      <c r="C12" t="n">
        <v>59</v>
      </c>
      <c r="D12" t="n">
        <v>0</v>
      </c>
      <c r="M12" t="n">
        <v>0</v>
      </c>
      <c r="Y12" s="98" t="inlineStr">
        <is>
          <t xml:space="preserve"> </t>
        </is>
      </c>
      <c r="AD12" t="n">
        <v>0</v>
      </c>
      <c r="BG12" s="60" t="inlineStr">
        <is>
          <t xml:space="preserve"> </t>
        </is>
      </c>
      <c r="BI12" t="n">
        <v>0</v>
      </c>
      <c r="BJ12" t="n">
        <v>0</v>
      </c>
      <c r="BV12" t="n">
        <v>0</v>
      </c>
      <c r="CC12" s="98" t="n">
        <v>1</v>
      </c>
      <c r="CD12" t="n">
        <v>3</v>
      </c>
      <c r="CE12" t="n">
        <v>4</v>
      </c>
      <c r="CF12" t="n">
        <v>0</v>
      </c>
      <c r="CG12" t="n">
        <v>0</v>
      </c>
      <c r="CH12" t="n">
        <v>0</v>
      </c>
      <c r="CI12" t="n">
        <v>2</v>
      </c>
      <c r="CJ12" t="n">
        <v>0</v>
      </c>
      <c r="CK12" t="n">
        <v>6</v>
      </c>
      <c r="CL12" t="n">
        <v>0</v>
      </c>
      <c r="CM12" s="7" t="n">
        <v>65</v>
      </c>
    </row>
    <row r="13">
      <c r="A13" t="inlineStr">
        <is>
          <t>Binnig Andre</t>
        </is>
      </c>
      <c r="B13" t="inlineStr">
        <is>
          <t>L</t>
        </is>
      </c>
      <c r="C13" t="n">
        <v>100</v>
      </c>
      <c r="D13" t="n">
        <v>0</v>
      </c>
      <c r="F13" t="n">
        <v>1</v>
      </c>
      <c r="G13" t="n">
        <v>0</v>
      </c>
      <c r="H13" t="n">
        <v>0</v>
      </c>
      <c r="K13" t="n">
        <v>0</v>
      </c>
      <c r="M13" t="n">
        <v>0</v>
      </c>
      <c r="N13" t="n">
        <v>0</v>
      </c>
      <c r="U13" t="n">
        <v>0</v>
      </c>
      <c r="Y13" s="98" t="n">
        <v>0</v>
      </c>
      <c r="AA13" t="n">
        <v>1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R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s="60" t="inlineStr">
        <is>
          <t xml:space="preserve"> </t>
        </is>
      </c>
      <c r="CC13" s="98" t="n">
        <v>31</v>
      </c>
      <c r="CD13" t="n">
        <v>0</v>
      </c>
      <c r="CE13" t="n">
        <v>31</v>
      </c>
      <c r="CF13" t="n">
        <v>3</v>
      </c>
      <c r="CG13" t="n">
        <v>0</v>
      </c>
      <c r="CH13" t="n">
        <v>3</v>
      </c>
      <c r="CI13" t="n">
        <v>8</v>
      </c>
      <c r="CJ13" t="n">
        <v>1</v>
      </c>
      <c r="CK13" t="n">
        <v>39</v>
      </c>
      <c r="CL13" t="n">
        <v>4</v>
      </c>
      <c r="CM13" s="7" t="n">
        <v>139</v>
      </c>
    </row>
    <row r="14">
      <c r="A14" t="inlineStr">
        <is>
          <t>Bosch M.</t>
        </is>
      </c>
      <c r="B14" t="inlineStr">
        <is>
          <t>L</t>
        </is>
      </c>
      <c r="C14" s="56" t="n">
        <v>420</v>
      </c>
      <c r="D14" t="n">
        <v>0</v>
      </c>
      <c r="F14" t="n">
        <v>0</v>
      </c>
      <c r="G14" t="n">
        <v>0</v>
      </c>
      <c r="K14" t="n">
        <v>0</v>
      </c>
      <c r="M14" s="92" t="n">
        <v>0</v>
      </c>
      <c r="N14" t="n">
        <v>0</v>
      </c>
      <c r="U14" t="n">
        <v>1</v>
      </c>
      <c r="Y14" s="98" t="n">
        <v>0</v>
      </c>
      <c r="AA14" t="n">
        <v>0</v>
      </c>
      <c r="AB14" t="n">
        <v>1</v>
      </c>
      <c r="AC14" t="n">
        <v>0</v>
      </c>
      <c r="AM14" t="n">
        <v>0</v>
      </c>
      <c r="AO14" t="n">
        <v>0</v>
      </c>
      <c r="BG14" s="60" t="inlineStr">
        <is>
          <t xml:space="preserve"> </t>
        </is>
      </c>
      <c r="BL14" t="n">
        <v>0</v>
      </c>
      <c r="BO14" t="n">
        <v>0</v>
      </c>
      <c r="BQ14" t="n">
        <v>0</v>
      </c>
      <c r="BR14" t="n">
        <v>1</v>
      </c>
      <c r="BX14" t="n">
        <v>0</v>
      </c>
      <c r="BY14" t="n">
        <v>0</v>
      </c>
      <c r="BZ14" t="n">
        <v>1</v>
      </c>
      <c r="CB14" t="n">
        <v>0</v>
      </c>
      <c r="CC14" s="98" t="n">
        <v>6</v>
      </c>
      <c r="CD14" t="n">
        <v>8</v>
      </c>
      <c r="CE14" t="n">
        <v>14</v>
      </c>
      <c r="CF14" t="n">
        <v>1</v>
      </c>
      <c r="CG14" t="n">
        <v>2</v>
      </c>
      <c r="CH14" t="n">
        <v>3</v>
      </c>
      <c r="CI14" t="n">
        <v>7</v>
      </c>
      <c r="CJ14" t="n">
        <v>1</v>
      </c>
      <c r="CK14" t="n">
        <v>21</v>
      </c>
      <c r="CL14" t="n">
        <v>4</v>
      </c>
      <c r="CM14" s="7" t="n">
        <v>441</v>
      </c>
    </row>
    <row r="15">
      <c r="A15" t="inlineStr">
        <is>
          <t>Broghammer Michael</t>
        </is>
      </c>
      <c r="B15" t="inlineStr">
        <is>
          <t>M</t>
        </is>
      </c>
      <c r="C15" t="n">
        <v>25</v>
      </c>
      <c r="Y15" s="98" t="inlineStr">
        <is>
          <t xml:space="preserve"> </t>
        </is>
      </c>
      <c r="BG15" s="60" t="inlineStr">
        <is>
          <t xml:space="preserve"> </t>
        </is>
      </c>
      <c r="CC15" s="98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s="7" t="n">
        <v>25</v>
      </c>
    </row>
    <row r="16">
      <c r="A16" t="inlineStr">
        <is>
          <t>Coraci Davide</t>
        </is>
      </c>
      <c r="B16" t="inlineStr">
        <is>
          <t>L</t>
        </is>
      </c>
      <c r="C16" t="n">
        <v>41</v>
      </c>
      <c r="Y16" s="98" t="inlineStr">
        <is>
          <t xml:space="preserve"> </t>
        </is>
      </c>
      <c r="BG16" s="60" t="inlineStr">
        <is>
          <t xml:space="preserve"> </t>
        </is>
      </c>
      <c r="BH16" t="n">
        <v>0</v>
      </c>
      <c r="BK16" t="n">
        <v>1</v>
      </c>
      <c r="BN16" t="n">
        <v>0</v>
      </c>
      <c r="BU16" t="n">
        <v>0</v>
      </c>
      <c r="BV16" t="n">
        <v>0</v>
      </c>
      <c r="BY16" t="n">
        <v>0</v>
      </c>
      <c r="BZ16" t="n">
        <v>0</v>
      </c>
      <c r="CC16" s="98" t="n">
        <v>0</v>
      </c>
      <c r="CD16" t="n">
        <v>7</v>
      </c>
      <c r="CE16" t="n">
        <v>7</v>
      </c>
      <c r="CF16" t="n">
        <v>0</v>
      </c>
      <c r="CG16" t="n">
        <v>1</v>
      </c>
      <c r="CH16" t="n">
        <v>1</v>
      </c>
      <c r="CI16" t="n">
        <v>0</v>
      </c>
      <c r="CJ16" t="n">
        <v>0</v>
      </c>
      <c r="CK16" t="n">
        <v>7</v>
      </c>
      <c r="CL16" t="n">
        <v>1</v>
      </c>
      <c r="CM16" s="7" t="n">
        <v>48</v>
      </c>
    </row>
    <row r="17">
      <c r="A17" t="inlineStr">
        <is>
          <t>Czerny A</t>
        </is>
      </c>
      <c r="B17" t="inlineStr">
        <is>
          <t>M</t>
        </is>
      </c>
      <c r="C17" t="n">
        <v>227</v>
      </c>
      <c r="Y17" s="98" t="inlineStr">
        <is>
          <t xml:space="preserve"> </t>
        </is>
      </c>
      <c r="BG17" s="60" t="inlineStr">
        <is>
          <t xml:space="preserve"> </t>
        </is>
      </c>
      <c r="BR17" t="n">
        <v>0</v>
      </c>
      <c r="CC17" s="98" t="n">
        <v>0</v>
      </c>
      <c r="CD17" t="n">
        <v>1</v>
      </c>
      <c r="CE17" t="n">
        <v>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1</v>
      </c>
      <c r="CL17" t="n">
        <v>0</v>
      </c>
      <c r="CM17" s="7" t="n">
        <v>228</v>
      </c>
    </row>
    <row r="18">
      <c r="A18" t="inlineStr">
        <is>
          <t>Dereck Christian</t>
        </is>
      </c>
      <c r="B18" t="inlineStr">
        <is>
          <t>M</t>
        </is>
      </c>
      <c r="C18" t="n">
        <v>50</v>
      </c>
      <c r="H18" t="n">
        <v>0</v>
      </c>
      <c r="M18" s="92" t="n"/>
      <c r="Y18" s="98" t="inlineStr">
        <is>
          <t xml:space="preserve"> </t>
        </is>
      </c>
      <c r="BG18" s="60" t="inlineStr">
        <is>
          <t xml:space="preserve"> </t>
        </is>
      </c>
      <c r="BH18" t="n">
        <v>0</v>
      </c>
      <c r="BI18" t="n">
        <v>0</v>
      </c>
      <c r="BJ18" t="n">
        <v>0</v>
      </c>
      <c r="BK18" t="n">
        <v>0</v>
      </c>
      <c r="BM18" t="n">
        <v>0</v>
      </c>
      <c r="BN18" t="n">
        <v>1</v>
      </c>
      <c r="BO18" t="n">
        <v>1</v>
      </c>
      <c r="BP18" t="n">
        <v>1</v>
      </c>
      <c r="BR18" t="n">
        <v>0</v>
      </c>
      <c r="BT18" t="n">
        <v>0</v>
      </c>
      <c r="BV18" t="n">
        <v>0</v>
      </c>
      <c r="BW18" t="n">
        <v>0</v>
      </c>
      <c r="BY18" t="n">
        <v>0</v>
      </c>
      <c r="BZ18" t="n">
        <v>0</v>
      </c>
      <c r="CA18" t="n">
        <v>0</v>
      </c>
      <c r="CB18" t="n">
        <v>2</v>
      </c>
      <c r="CC18" s="98" t="n">
        <v>0</v>
      </c>
      <c r="CD18" t="n">
        <v>16</v>
      </c>
      <c r="CE18" t="n">
        <v>16</v>
      </c>
      <c r="CF18" t="n">
        <v>0</v>
      </c>
      <c r="CG18" t="n">
        <v>5</v>
      </c>
      <c r="CH18" t="n">
        <v>5</v>
      </c>
      <c r="CI18" t="n">
        <v>1</v>
      </c>
      <c r="CJ18" t="n">
        <v>0</v>
      </c>
      <c r="CK18" t="n">
        <v>17</v>
      </c>
      <c r="CL18" t="n">
        <v>5</v>
      </c>
      <c r="CM18" s="7" t="n">
        <v>67</v>
      </c>
    </row>
    <row r="19">
      <c r="A19" t="inlineStr">
        <is>
          <t>Dold Markus</t>
        </is>
      </c>
      <c r="B19" t="inlineStr">
        <is>
          <t>M</t>
        </is>
      </c>
      <c r="C19" t="n">
        <v>90</v>
      </c>
      <c r="D19" t="n">
        <v>0</v>
      </c>
      <c r="G19" t="n">
        <v>0</v>
      </c>
      <c r="H19" t="n">
        <v>0</v>
      </c>
      <c r="I19" s="92" t="n"/>
      <c r="J19" s="92" t="n"/>
      <c r="K19" s="92" t="n">
        <v>0</v>
      </c>
      <c r="M19" t="n">
        <v>0</v>
      </c>
      <c r="U19" t="n">
        <v>0</v>
      </c>
      <c r="Y19" s="98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2</v>
      </c>
      <c r="AY19" t="n">
        <v>0</v>
      </c>
      <c r="AZ19" t="n">
        <v>0</v>
      </c>
      <c r="BB19" t="n">
        <v>0</v>
      </c>
      <c r="BD19" t="n">
        <v>0</v>
      </c>
      <c r="BE19" t="n">
        <v>0</v>
      </c>
      <c r="BF19" t="n">
        <v>0</v>
      </c>
      <c r="BG19" s="60" t="inlineStr">
        <is>
          <t xml:space="preserve"> </t>
        </is>
      </c>
      <c r="CC19" s="98" t="n">
        <v>29</v>
      </c>
      <c r="CD19" t="n">
        <v>0</v>
      </c>
      <c r="CE19" t="n">
        <v>29</v>
      </c>
      <c r="CF19" t="n">
        <v>3</v>
      </c>
      <c r="CG19" t="n">
        <v>0</v>
      </c>
      <c r="CH19" t="n">
        <v>3</v>
      </c>
      <c r="CI19" t="n">
        <v>6</v>
      </c>
      <c r="CJ19" t="n">
        <v>0</v>
      </c>
      <c r="CK19" t="n">
        <v>35</v>
      </c>
      <c r="CL19" t="n">
        <v>3</v>
      </c>
      <c r="CM19" s="7" t="n">
        <v>125</v>
      </c>
    </row>
    <row r="20">
      <c r="A20" t="inlineStr">
        <is>
          <t>Ebert D.</t>
        </is>
      </c>
      <c r="B20" t="inlineStr">
        <is>
          <t>M</t>
        </is>
      </c>
      <c r="C20" t="n">
        <v>385</v>
      </c>
      <c r="Y20" s="98" t="inlineStr">
        <is>
          <t xml:space="preserve"> </t>
        </is>
      </c>
      <c r="BG20" s="60" t="inlineStr">
        <is>
          <t xml:space="preserve"> </t>
        </is>
      </c>
      <c r="BY20" t="n">
        <v>1</v>
      </c>
      <c r="CC20" s="98" t="n">
        <v>0</v>
      </c>
      <c r="CD20" t="n">
        <v>1</v>
      </c>
      <c r="CE20" t="n">
        <v>1</v>
      </c>
      <c r="CF20" t="n">
        <v>0</v>
      </c>
      <c r="CG20" t="n">
        <v>1</v>
      </c>
      <c r="CH20" t="n">
        <v>1</v>
      </c>
      <c r="CI20" t="n">
        <v>0</v>
      </c>
      <c r="CJ20" t="n">
        <v>0</v>
      </c>
      <c r="CK20" t="n">
        <v>1</v>
      </c>
      <c r="CL20" t="n">
        <v>1</v>
      </c>
      <c r="CM20" s="7" t="n">
        <v>386</v>
      </c>
    </row>
    <row r="21">
      <c r="A21" t="inlineStr">
        <is>
          <t>Ebert M.</t>
        </is>
      </c>
      <c r="B21" t="inlineStr">
        <is>
          <t>M</t>
        </is>
      </c>
      <c r="C21" t="n">
        <v>234</v>
      </c>
      <c r="D21" t="n">
        <v>0</v>
      </c>
      <c r="H21" t="n">
        <v>0</v>
      </c>
      <c r="K21" t="n">
        <v>0</v>
      </c>
      <c r="M21" s="92" t="n">
        <v>0</v>
      </c>
      <c r="N21" t="n">
        <v>1</v>
      </c>
      <c r="Y21" s="98" t="inlineStr">
        <is>
          <t xml:space="preserve"> </t>
        </is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N21" t="n">
        <v>0</v>
      </c>
      <c r="AO21" t="n">
        <v>0</v>
      </c>
      <c r="AP21" t="n">
        <v>0</v>
      </c>
      <c r="AR21" t="n">
        <v>0</v>
      </c>
      <c r="AS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s="60" t="inlineStr">
        <is>
          <t xml:space="preserve"> </t>
        </is>
      </c>
      <c r="BI21" t="n">
        <v>0</v>
      </c>
      <c r="CC21" s="98" t="n">
        <v>24</v>
      </c>
      <c r="CD21" t="n">
        <v>1</v>
      </c>
      <c r="CE21" t="n">
        <v>25</v>
      </c>
      <c r="CF21" t="n">
        <v>0</v>
      </c>
      <c r="CG21" t="n">
        <v>0</v>
      </c>
      <c r="CH21" t="n">
        <v>0</v>
      </c>
      <c r="CI21" t="n">
        <v>5</v>
      </c>
      <c r="CJ21" t="n">
        <v>1</v>
      </c>
      <c r="CK21" t="n">
        <v>30</v>
      </c>
      <c r="CL21" t="n">
        <v>1</v>
      </c>
      <c r="CM21" s="7" t="n">
        <v>264</v>
      </c>
    </row>
    <row r="22">
      <c r="A22" t="inlineStr">
        <is>
          <t>Engesser M.</t>
        </is>
      </c>
      <c r="B22" t="inlineStr">
        <is>
          <t>M</t>
        </is>
      </c>
      <c r="C22" t="n">
        <v>167</v>
      </c>
      <c r="Y22" s="98" t="inlineStr">
        <is>
          <t xml:space="preserve"> </t>
        </is>
      </c>
      <c r="BG22" s="60" t="inlineStr">
        <is>
          <t xml:space="preserve"> </t>
        </is>
      </c>
      <c r="CC22" s="98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s="7" t="n">
        <v>167</v>
      </c>
    </row>
    <row r="23">
      <c r="A23" t="inlineStr">
        <is>
          <t>Ettwein Kevin</t>
        </is>
      </c>
      <c r="B23" t="inlineStr">
        <is>
          <t>L</t>
        </is>
      </c>
      <c r="C23" t="n">
        <v>8</v>
      </c>
      <c r="Y23" s="98" t="inlineStr">
        <is>
          <t xml:space="preserve"> </t>
        </is>
      </c>
      <c r="BG23" s="60" t="inlineStr">
        <is>
          <t xml:space="preserve"> </t>
        </is>
      </c>
      <c r="CC23" s="98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s="7" t="n">
        <v>8</v>
      </c>
    </row>
    <row r="24">
      <c r="A24" t="inlineStr">
        <is>
          <t>Ettwein Dennis</t>
        </is>
      </c>
      <c r="B24" t="inlineStr">
        <is>
          <t>L</t>
        </is>
      </c>
      <c r="C24" t="n">
        <v>32</v>
      </c>
      <c r="Y24" s="98" t="inlineStr">
        <is>
          <t xml:space="preserve"> </t>
        </is>
      </c>
      <c r="BG24" s="60" t="inlineStr">
        <is>
          <t xml:space="preserve"> </t>
        </is>
      </c>
      <c r="CC24" s="98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s="7" t="n">
        <v>32</v>
      </c>
    </row>
    <row r="25">
      <c r="A25" t="inlineStr">
        <is>
          <t>Ganter F.</t>
        </is>
      </c>
      <c r="B25" t="inlineStr">
        <is>
          <t>M</t>
        </is>
      </c>
      <c r="C25" t="n">
        <v>401</v>
      </c>
      <c r="Y25" s="98" t="inlineStr">
        <is>
          <t xml:space="preserve"> </t>
        </is>
      </c>
      <c r="BG25" s="60" t="inlineStr">
        <is>
          <t xml:space="preserve"> </t>
        </is>
      </c>
      <c r="CC25" s="98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s="7" t="n">
        <v>401</v>
      </c>
    </row>
    <row r="26">
      <c r="A26" t="inlineStr">
        <is>
          <t>Ginter Colin</t>
        </is>
      </c>
      <c r="C26" t="n">
        <v>0</v>
      </c>
      <c r="Y26" s="98" t="inlineStr">
        <is>
          <t xml:space="preserve"> </t>
        </is>
      </c>
      <c r="BG26" s="60" t="inlineStr">
        <is>
          <t xml:space="preserve"> </t>
        </is>
      </c>
      <c r="BZ26" t="n">
        <v>0</v>
      </c>
      <c r="CC26" s="98" t="n">
        <v>0</v>
      </c>
      <c r="CD26" t="n">
        <v>1</v>
      </c>
      <c r="CE26" t="n">
        <v>1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1</v>
      </c>
      <c r="CL26" t="n">
        <v>0</v>
      </c>
      <c r="CM26" s="7" t="n">
        <v>1</v>
      </c>
    </row>
    <row r="27">
      <c r="A27" t="inlineStr">
        <is>
          <t>Glase Rico</t>
        </is>
      </c>
      <c r="B27" t="inlineStr">
        <is>
          <t>M</t>
        </is>
      </c>
      <c r="C27" t="n">
        <v>41</v>
      </c>
      <c r="Y27" s="98" t="inlineStr">
        <is>
          <t xml:space="preserve"> </t>
        </is>
      </c>
      <c r="BG27" s="60" t="inlineStr">
        <is>
          <t xml:space="preserve"> </t>
        </is>
      </c>
      <c r="CC27" s="98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s="7" t="n">
        <v>41</v>
      </c>
    </row>
    <row r="28">
      <c r="A28" t="inlineStr">
        <is>
          <t>Günter Ralf</t>
        </is>
      </c>
      <c r="B28" t="inlineStr">
        <is>
          <t>L</t>
        </is>
      </c>
      <c r="C28" t="n">
        <v>159</v>
      </c>
      <c r="D28" t="n">
        <v>0</v>
      </c>
      <c r="F28" t="n">
        <v>0</v>
      </c>
      <c r="G28" t="n">
        <v>0</v>
      </c>
      <c r="H28" t="n">
        <v>0</v>
      </c>
      <c r="I28" s="92" t="n"/>
      <c r="J28" s="92" t="n"/>
      <c r="K28" s="92" t="n">
        <v>0</v>
      </c>
      <c r="M28" s="92" t="n">
        <v>0</v>
      </c>
      <c r="N28" t="n">
        <v>0</v>
      </c>
      <c r="U28" t="n">
        <v>0</v>
      </c>
      <c r="Y28" s="9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s="60" t="inlineStr">
        <is>
          <t xml:space="preserve"> </t>
        </is>
      </c>
      <c r="CC28" s="98" t="n">
        <v>32</v>
      </c>
      <c r="CD28" t="n">
        <v>0</v>
      </c>
      <c r="CE28" t="n">
        <v>32</v>
      </c>
      <c r="CF28" t="n">
        <v>3</v>
      </c>
      <c r="CG28" t="n">
        <v>0</v>
      </c>
      <c r="CH28" t="n">
        <v>3</v>
      </c>
      <c r="CI28" t="n">
        <v>8</v>
      </c>
      <c r="CJ28" t="n">
        <v>0</v>
      </c>
      <c r="CK28" t="n">
        <v>40</v>
      </c>
      <c r="CL28" t="n">
        <v>3</v>
      </c>
      <c r="CM28" s="7" t="n">
        <v>199</v>
      </c>
    </row>
    <row r="29">
      <c r="A29" t="inlineStr">
        <is>
          <t>Haberstroh Benny</t>
        </is>
      </c>
      <c r="B29" t="inlineStr">
        <is>
          <t>M</t>
        </is>
      </c>
      <c r="C29" t="n">
        <v>19</v>
      </c>
      <c r="Y29" s="98" t="inlineStr">
        <is>
          <t xml:space="preserve"> </t>
        </is>
      </c>
      <c r="BG29" s="60" t="inlineStr">
        <is>
          <t xml:space="preserve"> </t>
        </is>
      </c>
      <c r="CC29" s="98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s="7" t="n">
        <v>19</v>
      </c>
    </row>
    <row r="30">
      <c r="A30" t="inlineStr">
        <is>
          <t>Haberstroh Michael</t>
        </is>
      </c>
      <c r="B30" t="inlineStr">
        <is>
          <t>M</t>
        </is>
      </c>
      <c r="C30" t="n">
        <v>6</v>
      </c>
      <c r="Y30" s="98" t="inlineStr">
        <is>
          <t xml:space="preserve"> </t>
        </is>
      </c>
      <c r="BG30" s="60" t="inlineStr">
        <is>
          <t xml:space="preserve"> </t>
        </is>
      </c>
      <c r="BP30" t="n">
        <v>0</v>
      </c>
      <c r="CC30" s="98" t="n">
        <v>0</v>
      </c>
      <c r="CD30" t="n">
        <v>1</v>
      </c>
      <c r="CE30" t="n">
        <v>1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  <c r="CM30" s="7" t="n">
        <v>7</v>
      </c>
    </row>
    <row r="31">
      <c r="A31" t="inlineStr">
        <is>
          <t>Haberstroh Raphael</t>
        </is>
      </c>
      <c r="B31" t="inlineStr">
        <is>
          <t>M</t>
        </is>
      </c>
      <c r="C31" t="n">
        <v>142</v>
      </c>
      <c r="D31" t="n">
        <v>0</v>
      </c>
      <c r="F31" t="n">
        <v>0</v>
      </c>
      <c r="G31" t="n">
        <v>0</v>
      </c>
      <c r="N31" t="n">
        <v>1</v>
      </c>
      <c r="U31" t="n">
        <v>0</v>
      </c>
      <c r="Y31" s="98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s="60" t="inlineStr">
        <is>
          <t xml:space="preserve"> </t>
        </is>
      </c>
      <c r="CC31" s="98" t="n">
        <v>29</v>
      </c>
      <c r="CD31" t="n">
        <v>0</v>
      </c>
      <c r="CE31" t="n">
        <v>29</v>
      </c>
      <c r="CF31" t="n">
        <v>3</v>
      </c>
      <c r="CG31" t="n">
        <v>0</v>
      </c>
      <c r="CH31" t="n">
        <v>3</v>
      </c>
      <c r="CI31" t="n">
        <v>5</v>
      </c>
      <c r="CJ31" t="n">
        <v>1</v>
      </c>
      <c r="CK31" t="n">
        <v>34</v>
      </c>
      <c r="CL31" t="n">
        <v>4</v>
      </c>
      <c r="CM31" s="7" t="n">
        <v>176</v>
      </c>
    </row>
    <row r="32">
      <c r="A32" s="92" t="inlineStr">
        <is>
          <t>Hauser Marcel</t>
        </is>
      </c>
      <c r="B32" s="92" t="inlineStr">
        <is>
          <t>L</t>
        </is>
      </c>
      <c r="C32" t="n">
        <v>27</v>
      </c>
      <c r="F32" t="n">
        <v>0</v>
      </c>
      <c r="G32" t="n">
        <v>0</v>
      </c>
      <c r="V32" t="n">
        <v>0</v>
      </c>
      <c r="Y32" s="98" t="inlineStr">
        <is>
          <t xml:space="preserve"> </t>
        </is>
      </c>
      <c r="BG32" s="60" t="inlineStr">
        <is>
          <t xml:space="preserve"> </t>
        </is>
      </c>
      <c r="BH32" t="n">
        <v>0</v>
      </c>
      <c r="BI32" t="n">
        <v>0</v>
      </c>
      <c r="BP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Z32" t="n">
        <v>0</v>
      </c>
      <c r="CA32" t="n">
        <v>0</v>
      </c>
      <c r="CB32" t="n">
        <v>0</v>
      </c>
      <c r="CC32" s="98" t="n">
        <v>0</v>
      </c>
      <c r="CD32" t="n">
        <v>12</v>
      </c>
      <c r="CE32" t="n">
        <v>12</v>
      </c>
      <c r="CF32" t="n">
        <v>0</v>
      </c>
      <c r="CG32" t="n">
        <v>0</v>
      </c>
      <c r="CH32" t="n">
        <v>0</v>
      </c>
      <c r="CI32" t="n">
        <v>3</v>
      </c>
      <c r="CJ32" t="n">
        <v>0</v>
      </c>
      <c r="CK32" t="n">
        <v>15</v>
      </c>
      <c r="CL32" t="n">
        <v>0</v>
      </c>
      <c r="CM32" s="7" t="n">
        <v>42</v>
      </c>
    </row>
    <row r="33">
      <c r="A33" t="inlineStr">
        <is>
          <t>Heilmann M.</t>
        </is>
      </c>
      <c r="B33" t="inlineStr">
        <is>
          <t>M</t>
        </is>
      </c>
      <c r="C33" t="n">
        <v>245</v>
      </c>
      <c r="Y33" s="98" t="inlineStr">
        <is>
          <t xml:space="preserve"> </t>
        </is>
      </c>
      <c r="BG33" s="60" t="inlineStr">
        <is>
          <t xml:space="preserve"> </t>
        </is>
      </c>
      <c r="BR33" t="n">
        <v>0</v>
      </c>
      <c r="CC33" s="98" t="n">
        <v>0</v>
      </c>
      <c r="CD33" t="n">
        <v>1</v>
      </c>
      <c r="CE33" t="n">
        <v>1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1</v>
      </c>
      <c r="CL33" t="n">
        <v>0</v>
      </c>
      <c r="CM33" s="7" t="n">
        <v>246</v>
      </c>
    </row>
    <row r="34">
      <c r="A34" t="inlineStr">
        <is>
          <t>Hornikel A.</t>
        </is>
      </c>
      <c r="B34" t="inlineStr">
        <is>
          <t>M</t>
        </is>
      </c>
      <c r="C34" t="n">
        <v>339</v>
      </c>
      <c r="Y34" s="98" t="inlineStr">
        <is>
          <t xml:space="preserve"> </t>
        </is>
      </c>
      <c r="BG34" s="60" t="inlineStr">
        <is>
          <t xml:space="preserve"> </t>
        </is>
      </c>
      <c r="CC34" s="98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s="7" t="n">
        <v>339</v>
      </c>
    </row>
    <row r="35">
      <c r="A35" t="inlineStr">
        <is>
          <t>Jäckle M.</t>
        </is>
      </c>
      <c r="B35" t="inlineStr">
        <is>
          <t>M</t>
        </is>
      </c>
      <c r="C35" t="n">
        <v>276</v>
      </c>
      <c r="Y35" s="98" t="inlineStr">
        <is>
          <t xml:space="preserve"> </t>
        </is>
      </c>
      <c r="BG35" s="60" t="inlineStr">
        <is>
          <t xml:space="preserve"> </t>
        </is>
      </c>
      <c r="CC35" s="98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s="7" t="n">
        <v>276</v>
      </c>
    </row>
    <row r="36">
      <c r="A36" t="inlineStr">
        <is>
          <t>Jaki S.</t>
        </is>
      </c>
      <c r="B36" t="inlineStr">
        <is>
          <t>M</t>
        </is>
      </c>
      <c r="C36" t="n">
        <v>473</v>
      </c>
      <c r="Y36" s="98" t="inlineStr">
        <is>
          <t xml:space="preserve"> </t>
        </is>
      </c>
      <c r="AO36" t="n">
        <v>0</v>
      </c>
      <c r="BG36" s="60" t="inlineStr">
        <is>
          <t xml:space="preserve"> </t>
        </is>
      </c>
      <c r="BK36" t="n">
        <v>3</v>
      </c>
      <c r="BL36" t="n">
        <v>0</v>
      </c>
      <c r="BM36" t="n">
        <v>2</v>
      </c>
      <c r="BO36" t="n">
        <v>2</v>
      </c>
      <c r="BR36" t="n">
        <v>4</v>
      </c>
      <c r="BT36" t="n">
        <v>2</v>
      </c>
      <c r="BU36" t="n">
        <v>0</v>
      </c>
      <c r="BZ36" t="n">
        <v>2</v>
      </c>
      <c r="CA36" t="n">
        <v>0</v>
      </c>
      <c r="CB36" t="n">
        <v>1</v>
      </c>
      <c r="CC36" s="98" t="n">
        <v>1</v>
      </c>
      <c r="CD36" t="n">
        <v>10</v>
      </c>
      <c r="CE36" t="n">
        <v>11</v>
      </c>
      <c r="CF36" t="n">
        <v>0</v>
      </c>
      <c r="CG36" t="n">
        <v>16</v>
      </c>
      <c r="CH36" t="n">
        <v>16</v>
      </c>
      <c r="CI36" t="n">
        <v>0</v>
      </c>
      <c r="CJ36" t="n">
        <v>0</v>
      </c>
      <c r="CK36" t="n">
        <v>11</v>
      </c>
      <c r="CL36" t="n">
        <v>16</v>
      </c>
      <c r="CM36" s="7" t="n">
        <v>484</v>
      </c>
    </row>
    <row r="37">
      <c r="A37" t="inlineStr">
        <is>
          <t>Jauch Jo.</t>
        </is>
      </c>
      <c r="B37" t="inlineStr">
        <is>
          <t>M</t>
        </is>
      </c>
      <c r="C37" t="n">
        <v>356</v>
      </c>
      <c r="Y37" s="98" t="inlineStr">
        <is>
          <t xml:space="preserve"> </t>
        </is>
      </c>
      <c r="BG37" s="60" t="inlineStr">
        <is>
          <t xml:space="preserve"> </t>
        </is>
      </c>
      <c r="CC37" s="98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s="7" t="n">
        <v>356</v>
      </c>
    </row>
    <row r="38">
      <c r="A38" t="inlineStr">
        <is>
          <t>Jauch Jürgen</t>
        </is>
      </c>
      <c r="B38" t="inlineStr">
        <is>
          <t>M</t>
        </is>
      </c>
      <c r="C38" t="n">
        <v>216</v>
      </c>
      <c r="Y38" s="98" t="inlineStr">
        <is>
          <t xml:space="preserve"> </t>
        </is>
      </c>
      <c r="BG38" s="60" t="inlineStr">
        <is>
          <t xml:space="preserve"> </t>
        </is>
      </c>
      <c r="CC38" s="9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s="7" t="n">
        <v>216</v>
      </c>
    </row>
    <row r="39">
      <c r="A39" t="inlineStr">
        <is>
          <t>Kimmich Simeon</t>
        </is>
      </c>
      <c r="C39" t="n">
        <v>1</v>
      </c>
      <c r="F39" t="n">
        <v>0</v>
      </c>
      <c r="G39" t="n">
        <v>0</v>
      </c>
      <c r="N39" t="n">
        <v>0</v>
      </c>
      <c r="Y39" s="98" t="inlineStr">
        <is>
          <t xml:space="preserve"> </t>
        </is>
      </c>
      <c r="BG39" s="60" t="inlineStr">
        <is>
          <t xml:space="preserve"> </t>
        </is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C39" s="98" t="n">
        <v>0</v>
      </c>
      <c r="CD39" t="n">
        <v>17</v>
      </c>
      <c r="CE39" t="n">
        <v>17</v>
      </c>
      <c r="CF39" t="n">
        <v>0</v>
      </c>
      <c r="CG39" t="n">
        <v>0</v>
      </c>
      <c r="CH39" t="n">
        <v>0</v>
      </c>
      <c r="CI39" t="n">
        <v>3</v>
      </c>
      <c r="CJ39" t="n">
        <v>0</v>
      </c>
      <c r="CK39" t="n">
        <v>20</v>
      </c>
      <c r="CL39" t="n">
        <v>0</v>
      </c>
      <c r="CM39" s="7" t="n">
        <v>21</v>
      </c>
    </row>
    <row r="40">
      <c r="A40" t="inlineStr">
        <is>
          <t>Klausmann M.</t>
        </is>
      </c>
      <c r="B40" t="inlineStr">
        <is>
          <t>M</t>
        </is>
      </c>
      <c r="C40" t="n">
        <v>253</v>
      </c>
      <c r="V40" t="n">
        <v>1</v>
      </c>
      <c r="Y40" s="98" t="inlineStr">
        <is>
          <t xml:space="preserve"> </t>
        </is>
      </c>
      <c r="BG40" s="60" t="inlineStr">
        <is>
          <t xml:space="preserve"> </t>
        </is>
      </c>
      <c r="BK40" t="n">
        <v>0</v>
      </c>
      <c r="BQ40" t="n">
        <v>0</v>
      </c>
      <c r="BY40" t="n">
        <v>0</v>
      </c>
      <c r="CC40" s="98" t="n">
        <v>0</v>
      </c>
      <c r="CD40" t="n">
        <v>3</v>
      </c>
      <c r="CE40" t="n">
        <v>3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4</v>
      </c>
      <c r="CL40" t="n">
        <v>1</v>
      </c>
      <c r="CM40" s="7" t="n">
        <v>257</v>
      </c>
    </row>
    <row r="41">
      <c r="A41" t="inlineStr">
        <is>
          <t>Kuner Matthias</t>
        </is>
      </c>
      <c r="C41" t="n">
        <v>21</v>
      </c>
      <c r="U41" t="n">
        <v>0</v>
      </c>
      <c r="V41" t="n">
        <v>0</v>
      </c>
      <c r="Y41" s="98" t="inlineStr">
        <is>
          <t xml:space="preserve"> </t>
        </is>
      </c>
      <c r="AB41" t="n">
        <v>0</v>
      </c>
      <c r="AD41" t="n">
        <v>0</v>
      </c>
      <c r="AE41" t="n">
        <v>0</v>
      </c>
      <c r="AF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R41" t="n">
        <v>0</v>
      </c>
      <c r="AS41" t="n">
        <v>0</v>
      </c>
      <c r="AW41" t="n">
        <v>0</v>
      </c>
      <c r="AY41" t="n">
        <v>0</v>
      </c>
      <c r="AZ41" t="n">
        <v>0</v>
      </c>
      <c r="BA41" t="n">
        <v>0</v>
      </c>
      <c r="BB41" t="n">
        <v>2</v>
      </c>
      <c r="BC41" t="n">
        <v>0</v>
      </c>
      <c r="BD41" t="n">
        <v>0</v>
      </c>
      <c r="BF41" t="n">
        <v>0</v>
      </c>
      <c r="BG41" s="60" t="inlineStr">
        <is>
          <t xml:space="preserve"> </t>
        </is>
      </c>
      <c r="BH41" t="n">
        <v>1</v>
      </c>
      <c r="BI41" t="n">
        <v>0</v>
      </c>
      <c r="BW41" t="n">
        <v>0</v>
      </c>
      <c r="BX41" t="n">
        <v>0</v>
      </c>
      <c r="CA41" t="n">
        <v>0</v>
      </c>
      <c r="CC41" s="98" t="n">
        <v>21</v>
      </c>
      <c r="CD41" t="n">
        <v>5</v>
      </c>
      <c r="CE41" t="n">
        <v>26</v>
      </c>
      <c r="CF41" t="n">
        <v>2</v>
      </c>
      <c r="CG41" t="n">
        <v>1</v>
      </c>
      <c r="CH41" t="n">
        <v>3</v>
      </c>
      <c r="CI41" t="n">
        <v>2</v>
      </c>
      <c r="CJ41" t="n">
        <v>0</v>
      </c>
      <c r="CK41" t="n">
        <v>28</v>
      </c>
      <c r="CL41" t="n">
        <v>3</v>
      </c>
      <c r="CM41" s="7" t="n">
        <v>49</v>
      </c>
    </row>
    <row r="42">
      <c r="A42" t="inlineStr">
        <is>
          <t>Klein Daniel</t>
        </is>
      </c>
      <c r="B42" t="inlineStr">
        <is>
          <t>M</t>
        </is>
      </c>
      <c r="C42" t="n">
        <v>185</v>
      </c>
      <c r="D42" t="n">
        <v>0</v>
      </c>
      <c r="N42" t="n">
        <v>0</v>
      </c>
      <c r="Y42" s="98" t="inlineStr">
        <is>
          <t xml:space="preserve"> </t>
        </is>
      </c>
      <c r="AD42" t="n">
        <v>0</v>
      </c>
      <c r="AE42" t="n">
        <v>0</v>
      </c>
      <c r="AF42" t="n">
        <v>0</v>
      </c>
      <c r="AW42" t="n">
        <v>0</v>
      </c>
      <c r="AX42" t="n">
        <v>0</v>
      </c>
      <c r="AY42" t="n">
        <v>0</v>
      </c>
      <c r="BG42" s="60" t="inlineStr">
        <is>
          <t xml:space="preserve"> </t>
        </is>
      </c>
      <c r="BH42" t="n">
        <v>0</v>
      </c>
      <c r="BI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X42" t="n">
        <v>0</v>
      </c>
      <c r="BZ42" t="n">
        <v>0</v>
      </c>
      <c r="CA42" t="n">
        <v>0</v>
      </c>
      <c r="CB42" t="n">
        <v>0</v>
      </c>
      <c r="CC42" s="98" t="n">
        <v>6</v>
      </c>
      <c r="CD42" t="n">
        <v>14</v>
      </c>
      <c r="CE42" t="n">
        <v>20</v>
      </c>
      <c r="CF42" t="n">
        <v>0</v>
      </c>
      <c r="CG42" t="n">
        <v>0</v>
      </c>
      <c r="CH42" t="n">
        <v>0</v>
      </c>
      <c r="CI42" t="n">
        <v>2</v>
      </c>
      <c r="CJ42" t="n">
        <v>0</v>
      </c>
      <c r="CK42" t="n">
        <v>22</v>
      </c>
      <c r="CL42" t="n">
        <v>0</v>
      </c>
      <c r="CM42" s="7" t="n">
        <v>207</v>
      </c>
    </row>
    <row r="43">
      <c r="A43" t="inlineStr">
        <is>
          <t>Linder Andreas</t>
        </is>
      </c>
      <c r="B43" t="inlineStr">
        <is>
          <t>L</t>
        </is>
      </c>
      <c r="C43" t="n">
        <v>74</v>
      </c>
      <c r="N43" t="n">
        <v>0</v>
      </c>
      <c r="V43" t="n">
        <v>0</v>
      </c>
      <c r="Y43" s="98" t="inlineStr">
        <is>
          <t xml:space="preserve"> </t>
        </is>
      </c>
      <c r="BG43" s="60" t="inlineStr">
        <is>
          <t xml:space="preserve"> </t>
        </is>
      </c>
      <c r="BH43" t="n">
        <v>0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Q43" t="n">
        <v>0</v>
      </c>
      <c r="BU43" t="n">
        <v>0</v>
      </c>
      <c r="CB43" t="n">
        <v>0</v>
      </c>
      <c r="CC43" s="98" t="n">
        <v>0</v>
      </c>
      <c r="CD43" t="n">
        <v>10</v>
      </c>
      <c r="CE43" t="n">
        <v>10</v>
      </c>
      <c r="CF43" t="n">
        <v>0</v>
      </c>
      <c r="CG43" t="n">
        <v>0</v>
      </c>
      <c r="CH43" t="n">
        <v>0</v>
      </c>
      <c r="CI43" t="n">
        <v>2</v>
      </c>
      <c r="CJ43" t="n">
        <v>0</v>
      </c>
      <c r="CK43" t="n">
        <v>12</v>
      </c>
      <c r="CL43" t="n">
        <v>0</v>
      </c>
      <c r="CM43" s="7" t="n">
        <v>86</v>
      </c>
    </row>
    <row r="44">
      <c r="A44" t="inlineStr">
        <is>
          <t>Lobert Marius</t>
        </is>
      </c>
      <c r="C44" t="n">
        <v>0</v>
      </c>
      <c r="Y44" s="98" t="inlineStr">
        <is>
          <t xml:space="preserve"> </t>
        </is>
      </c>
      <c r="BG44" s="60" t="inlineStr">
        <is>
          <t xml:space="preserve"> </t>
        </is>
      </c>
      <c r="BT44" t="n">
        <v>0</v>
      </c>
      <c r="BX44" t="n">
        <v>0</v>
      </c>
      <c r="CA44" t="n">
        <v>0</v>
      </c>
      <c r="CC44" s="98" t="n">
        <v>0</v>
      </c>
      <c r="CD44" t="n">
        <v>3</v>
      </c>
      <c r="CE44" t="n">
        <v>3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3</v>
      </c>
      <c r="CL44" t="n">
        <v>0</v>
      </c>
      <c r="CM44" s="7" t="n">
        <v>3</v>
      </c>
    </row>
    <row r="45">
      <c r="A45" t="inlineStr">
        <is>
          <t>Löffler Marius</t>
        </is>
      </c>
      <c r="B45" t="inlineStr">
        <is>
          <t>L</t>
        </is>
      </c>
      <c r="C45" t="n">
        <v>121</v>
      </c>
      <c r="D45" t="n">
        <v>0</v>
      </c>
      <c r="G45" t="n">
        <v>0</v>
      </c>
      <c r="H45" t="n">
        <v>0</v>
      </c>
      <c r="K45" t="n">
        <v>0</v>
      </c>
      <c r="M45" t="n">
        <v>1</v>
      </c>
      <c r="U45" t="n">
        <v>0</v>
      </c>
      <c r="Y45" s="98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R45" t="n">
        <v>1</v>
      </c>
      <c r="AS45" t="n">
        <v>0</v>
      </c>
      <c r="AT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0</v>
      </c>
      <c r="BG45" s="60" t="inlineStr">
        <is>
          <t xml:space="preserve"> </t>
        </is>
      </c>
      <c r="CC45" s="98" t="n">
        <v>30</v>
      </c>
      <c r="CD45" t="n">
        <v>0</v>
      </c>
      <c r="CE45" t="n">
        <v>30</v>
      </c>
      <c r="CF45" t="n">
        <v>4</v>
      </c>
      <c r="CG45" t="n">
        <v>0</v>
      </c>
      <c r="CH45" t="n">
        <v>4</v>
      </c>
      <c r="CI45" t="n">
        <v>6</v>
      </c>
      <c r="CJ45" t="n">
        <v>1</v>
      </c>
      <c r="CK45" t="n">
        <v>36</v>
      </c>
      <c r="CL45" t="n">
        <v>5</v>
      </c>
      <c r="CM45" s="7" t="n">
        <v>157</v>
      </c>
    </row>
    <row r="46">
      <c r="A46" t="inlineStr">
        <is>
          <t>Marte Marvin</t>
        </is>
      </c>
      <c r="B46" t="inlineStr">
        <is>
          <t>M</t>
        </is>
      </c>
      <c r="C46" t="n">
        <v>139</v>
      </c>
      <c r="D46" t="n">
        <v>2</v>
      </c>
      <c r="F46" t="n">
        <v>1</v>
      </c>
      <c r="G46" t="n">
        <v>0</v>
      </c>
      <c r="H46" t="n">
        <v>0</v>
      </c>
      <c r="K46" s="92" t="n">
        <v>0</v>
      </c>
      <c r="M46" t="n">
        <v>0</v>
      </c>
      <c r="N46" t="n">
        <v>0</v>
      </c>
      <c r="U46" t="n">
        <v>0</v>
      </c>
      <c r="Y46" s="98" t="n">
        <v>0</v>
      </c>
      <c r="AA46" t="n">
        <v>1</v>
      </c>
      <c r="AB46" t="n">
        <v>0</v>
      </c>
      <c r="AC46" t="n">
        <v>0</v>
      </c>
      <c r="AD46" t="n">
        <v>0</v>
      </c>
      <c r="AF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F46" t="n">
        <v>0</v>
      </c>
      <c r="BG46" s="60" t="inlineStr">
        <is>
          <t xml:space="preserve"> </t>
        </is>
      </c>
      <c r="CC46" s="98" t="n">
        <v>25</v>
      </c>
      <c r="CD46" t="n">
        <v>0</v>
      </c>
      <c r="CE46" t="n">
        <v>25</v>
      </c>
      <c r="CF46" t="n">
        <v>2</v>
      </c>
      <c r="CG46" t="n">
        <v>0</v>
      </c>
      <c r="CH46" t="n">
        <v>2</v>
      </c>
      <c r="CI46" t="n">
        <v>8</v>
      </c>
      <c r="CJ46" t="n">
        <v>3</v>
      </c>
      <c r="CK46" t="n">
        <v>33</v>
      </c>
      <c r="CL46" t="n">
        <v>5</v>
      </c>
      <c r="CM46" s="7" t="n">
        <v>172</v>
      </c>
    </row>
    <row r="47">
      <c r="A47" t="inlineStr">
        <is>
          <t>Moosmann J.</t>
        </is>
      </c>
      <c r="B47" t="inlineStr">
        <is>
          <t>L</t>
        </is>
      </c>
      <c r="C47" t="n">
        <v>83</v>
      </c>
      <c r="Y47" s="98" t="inlineStr">
        <is>
          <t xml:space="preserve"> </t>
        </is>
      </c>
      <c r="BG47" s="60" t="inlineStr">
        <is>
          <t xml:space="preserve"> </t>
        </is>
      </c>
      <c r="CC47" s="98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s="7" t="n">
        <v>83</v>
      </c>
    </row>
    <row r="48">
      <c r="A48" t="inlineStr">
        <is>
          <t>Moosmann Kay</t>
        </is>
      </c>
      <c r="B48" t="inlineStr">
        <is>
          <t>L</t>
        </is>
      </c>
      <c r="C48" t="n">
        <v>4</v>
      </c>
      <c r="N48" s="92" t="n">
        <v>0</v>
      </c>
      <c r="Y48" s="98" t="inlineStr">
        <is>
          <t xml:space="preserve"> </t>
        </is>
      </c>
      <c r="BG48" s="60" t="inlineStr">
        <is>
          <t xml:space="preserve"> </t>
        </is>
      </c>
      <c r="CC48" s="9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1</v>
      </c>
      <c r="CL48" t="n">
        <v>0</v>
      </c>
      <c r="CM48" s="7" t="n">
        <v>5</v>
      </c>
    </row>
    <row r="49">
      <c r="A49" t="inlineStr">
        <is>
          <t>Moosmann M.</t>
        </is>
      </c>
      <c r="B49" t="inlineStr">
        <is>
          <t>M</t>
        </is>
      </c>
      <c r="C49" t="n">
        <v>355</v>
      </c>
      <c r="Y49" s="98" t="inlineStr">
        <is>
          <t xml:space="preserve"> </t>
        </is>
      </c>
      <c r="BG49" s="60" t="inlineStr">
        <is>
          <t xml:space="preserve"> </t>
        </is>
      </c>
      <c r="CC49" s="98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s="7" t="n">
        <v>355</v>
      </c>
    </row>
    <row r="50">
      <c r="A50" t="inlineStr">
        <is>
          <t>Müller Andre</t>
        </is>
      </c>
      <c r="B50" t="inlineStr">
        <is>
          <t>M</t>
        </is>
      </c>
      <c r="C50" t="n">
        <v>36</v>
      </c>
      <c r="D50" t="n">
        <v>0</v>
      </c>
      <c r="H50" t="n">
        <v>0</v>
      </c>
      <c r="M50" t="n">
        <v>0</v>
      </c>
      <c r="N50" t="n">
        <v>0</v>
      </c>
      <c r="V50" t="n">
        <v>1</v>
      </c>
      <c r="Y50" s="98" t="inlineStr">
        <is>
          <t xml:space="preserve"> </t>
        </is>
      </c>
      <c r="BG50" s="60" t="inlineStr">
        <is>
          <t xml:space="preserve"> </t>
        </is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s="98" t="n">
        <v>0</v>
      </c>
      <c r="CD50" t="n">
        <v>20</v>
      </c>
      <c r="CE50" t="n">
        <v>20</v>
      </c>
      <c r="CF50" t="n">
        <v>0</v>
      </c>
      <c r="CG50" t="n">
        <v>0</v>
      </c>
      <c r="CH50" t="n">
        <v>0</v>
      </c>
      <c r="CI50" t="n">
        <v>5</v>
      </c>
      <c r="CJ50" t="n">
        <v>1</v>
      </c>
      <c r="CK50" t="n">
        <v>25</v>
      </c>
      <c r="CL50" t="n">
        <v>1</v>
      </c>
      <c r="CM50" s="7" t="n">
        <v>61</v>
      </c>
    </row>
    <row r="51">
      <c r="A51" s="92" t="inlineStr">
        <is>
          <t>Müller Felix</t>
        </is>
      </c>
      <c r="B51" s="92" t="inlineStr">
        <is>
          <t>L</t>
        </is>
      </c>
      <c r="C51" t="n">
        <v>11</v>
      </c>
      <c r="H51" t="n">
        <v>0</v>
      </c>
      <c r="K51" t="n">
        <v>0</v>
      </c>
      <c r="U51" t="n">
        <v>0</v>
      </c>
      <c r="V51" t="n">
        <v>0</v>
      </c>
      <c r="Y51" s="98" t="inlineStr">
        <is>
          <t xml:space="preserve"> </t>
        </is>
      </c>
      <c r="AA51" t="n">
        <v>0</v>
      </c>
      <c r="AE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P51" t="n">
        <v>0</v>
      </c>
      <c r="AS51" t="n">
        <v>0</v>
      </c>
      <c r="AT51" t="n">
        <v>0</v>
      </c>
      <c r="AX51" t="n">
        <v>0</v>
      </c>
      <c r="AY51" t="n">
        <v>0</v>
      </c>
      <c r="BG51" s="60" t="inlineStr">
        <is>
          <t xml:space="preserve"> </t>
        </is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U51" t="n">
        <v>0</v>
      </c>
      <c r="BX51" t="n">
        <v>0</v>
      </c>
      <c r="BZ51" t="n">
        <v>1</v>
      </c>
      <c r="CA51" t="n">
        <v>0</v>
      </c>
      <c r="CC51" s="98" t="n">
        <v>14</v>
      </c>
      <c r="CD51" t="n">
        <v>14</v>
      </c>
      <c r="CE51" t="n">
        <v>28</v>
      </c>
      <c r="CF51" t="n">
        <v>0</v>
      </c>
      <c r="CG51" t="n">
        <v>2</v>
      </c>
      <c r="CH51" t="n">
        <v>2</v>
      </c>
      <c r="CI51" t="n">
        <v>4</v>
      </c>
      <c r="CJ51" t="n">
        <v>0</v>
      </c>
      <c r="CK51" t="n">
        <v>32</v>
      </c>
      <c r="CL51" t="n">
        <v>2</v>
      </c>
      <c r="CM51" s="7" t="n">
        <v>43</v>
      </c>
    </row>
    <row r="52">
      <c r="A52" t="inlineStr">
        <is>
          <t>Müller Thorsten</t>
        </is>
      </c>
      <c r="B52" t="inlineStr">
        <is>
          <t>M</t>
        </is>
      </c>
      <c r="C52" t="n">
        <v>52</v>
      </c>
      <c r="F52" t="n">
        <v>0</v>
      </c>
      <c r="H52" t="n">
        <v>0</v>
      </c>
      <c r="M52" t="n">
        <v>0</v>
      </c>
      <c r="U52" t="n">
        <v>0</v>
      </c>
      <c r="V52" t="n">
        <v>0</v>
      </c>
      <c r="Y52" s="98" t="inlineStr">
        <is>
          <t xml:space="preserve"> </t>
        </is>
      </c>
      <c r="AD52" t="n">
        <v>0</v>
      </c>
      <c r="AG52" t="n">
        <v>0</v>
      </c>
      <c r="AI52" t="n">
        <v>0</v>
      </c>
      <c r="AJ52" t="n">
        <v>0</v>
      </c>
      <c r="AR52" t="n">
        <v>0</v>
      </c>
      <c r="AU52" t="n">
        <v>0</v>
      </c>
      <c r="BA52" t="n">
        <v>0</v>
      </c>
      <c r="BG52" s="60" t="inlineStr">
        <is>
          <t xml:space="preserve"> </t>
        </is>
      </c>
      <c r="BH52" t="n">
        <v>0</v>
      </c>
      <c r="BI52" t="n">
        <v>1</v>
      </c>
      <c r="BJ52" t="n">
        <v>0</v>
      </c>
      <c r="BK52" t="n">
        <v>0</v>
      </c>
      <c r="BL52" t="n">
        <v>1</v>
      </c>
      <c r="BM52" t="n">
        <v>0</v>
      </c>
      <c r="BN52" t="n">
        <v>1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1</v>
      </c>
      <c r="BX52" t="n">
        <v>0</v>
      </c>
      <c r="BY52" t="n">
        <v>1</v>
      </c>
      <c r="CA52" t="n">
        <v>0</v>
      </c>
      <c r="CB52" t="n">
        <v>0</v>
      </c>
      <c r="CC52" s="98" t="n">
        <v>7</v>
      </c>
      <c r="CD52" t="n">
        <v>18</v>
      </c>
      <c r="CE52" t="n">
        <v>25</v>
      </c>
      <c r="CF52" t="n">
        <v>0</v>
      </c>
      <c r="CG52" t="n">
        <v>5</v>
      </c>
      <c r="CH52" t="n">
        <v>5</v>
      </c>
      <c r="CI52" t="n">
        <v>5</v>
      </c>
      <c r="CJ52" t="n">
        <v>0</v>
      </c>
      <c r="CK52" t="n">
        <v>30</v>
      </c>
      <c r="CL52" t="n">
        <v>5</v>
      </c>
      <c r="CM52" s="7" t="n">
        <v>82</v>
      </c>
    </row>
    <row r="53">
      <c r="A53" t="inlineStr">
        <is>
          <t>Müller-Kohl, Ricardo</t>
        </is>
      </c>
      <c r="B53" t="inlineStr">
        <is>
          <t>M</t>
        </is>
      </c>
      <c r="C53" t="n">
        <v>8</v>
      </c>
      <c r="Y53" s="98" t="inlineStr">
        <is>
          <t xml:space="preserve"> </t>
        </is>
      </c>
      <c r="BG53" s="60" t="inlineStr">
        <is>
          <t xml:space="preserve"> </t>
        </is>
      </c>
      <c r="CC53" s="98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s="7" t="n">
        <v>8</v>
      </c>
    </row>
    <row r="54">
      <c r="A54" t="inlineStr">
        <is>
          <t>Murer Matthias</t>
        </is>
      </c>
      <c r="B54" t="inlineStr">
        <is>
          <t>L</t>
        </is>
      </c>
      <c r="C54" s="56" t="n">
        <v>265</v>
      </c>
      <c r="Y54" s="98" t="inlineStr">
        <is>
          <t xml:space="preserve"> </t>
        </is>
      </c>
      <c r="BG54" s="60" t="inlineStr">
        <is>
          <t xml:space="preserve"> </t>
        </is>
      </c>
      <c r="CC54" s="98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s="7" t="n">
        <v>265</v>
      </c>
    </row>
    <row r="55">
      <c r="A55" t="inlineStr">
        <is>
          <t>Oehler Alex</t>
        </is>
      </c>
      <c r="B55" t="inlineStr">
        <is>
          <t>L</t>
        </is>
      </c>
      <c r="C55" s="56" t="n">
        <v>108</v>
      </c>
      <c r="Y55" s="98" t="inlineStr">
        <is>
          <t xml:space="preserve"> </t>
        </is>
      </c>
      <c r="BG55" s="60" t="inlineStr">
        <is>
          <t xml:space="preserve"> </t>
        </is>
      </c>
      <c r="CC55" s="98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s="7" t="n">
        <v>108</v>
      </c>
    </row>
    <row r="56">
      <c r="A56" t="inlineStr">
        <is>
          <t>Oehler Christoph</t>
        </is>
      </c>
      <c r="B56" t="inlineStr">
        <is>
          <t>L</t>
        </is>
      </c>
      <c r="C56" s="56" t="n">
        <v>106</v>
      </c>
      <c r="Y56" s="98" t="inlineStr">
        <is>
          <t xml:space="preserve"> </t>
        </is>
      </c>
      <c r="BG56" s="60" t="inlineStr">
        <is>
          <t xml:space="preserve"> </t>
        </is>
      </c>
      <c r="CC56" s="98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s="7" t="n">
        <v>106</v>
      </c>
    </row>
    <row r="57">
      <c r="A57" t="inlineStr">
        <is>
          <t>Pfundstein Andreas</t>
        </is>
      </c>
      <c r="B57" t="inlineStr">
        <is>
          <t>L</t>
        </is>
      </c>
      <c r="C57" t="n">
        <v>117</v>
      </c>
      <c r="Y57" s="98" t="inlineStr">
        <is>
          <t xml:space="preserve"> </t>
        </is>
      </c>
      <c r="BG57" s="60" t="inlineStr">
        <is>
          <t xml:space="preserve"> </t>
        </is>
      </c>
      <c r="BM57" t="n">
        <v>3</v>
      </c>
      <c r="CB57" t="n">
        <v>0</v>
      </c>
      <c r="CC57" s="98" t="n">
        <v>0</v>
      </c>
      <c r="CD57" t="n">
        <v>2</v>
      </c>
      <c r="CE57" t="n">
        <v>2</v>
      </c>
      <c r="CF57" t="n">
        <v>0</v>
      </c>
      <c r="CG57" t="n">
        <v>3</v>
      </c>
      <c r="CH57" t="n">
        <v>3</v>
      </c>
      <c r="CI57" t="n">
        <v>0</v>
      </c>
      <c r="CJ57" t="n">
        <v>0</v>
      </c>
      <c r="CK57" t="n">
        <v>2</v>
      </c>
      <c r="CL57" t="n">
        <v>3</v>
      </c>
      <c r="CM57" s="7" t="n">
        <v>119</v>
      </c>
    </row>
    <row r="58">
      <c r="A58" t="inlineStr">
        <is>
          <t>Preuss Jeremias</t>
        </is>
      </c>
      <c r="B58" t="inlineStr">
        <is>
          <t>M</t>
        </is>
      </c>
      <c r="C58" t="n">
        <v>69</v>
      </c>
      <c r="D58" t="n">
        <v>4</v>
      </c>
      <c r="F58" t="n">
        <v>0</v>
      </c>
      <c r="G58" t="n">
        <v>0</v>
      </c>
      <c r="H58" t="n">
        <v>0</v>
      </c>
      <c r="K58" t="n">
        <v>0</v>
      </c>
      <c r="M58" t="n">
        <v>2</v>
      </c>
      <c r="N58" t="n">
        <v>2</v>
      </c>
      <c r="Y58" s="98" t="inlineStr">
        <is>
          <t xml:space="preserve"> </t>
        </is>
      </c>
      <c r="AE58" t="n">
        <v>0</v>
      </c>
      <c r="AF58" t="n">
        <v>0</v>
      </c>
      <c r="AG58" t="n">
        <v>0</v>
      </c>
      <c r="AH58" t="n">
        <v>0</v>
      </c>
      <c r="AK58" t="n">
        <v>0</v>
      </c>
      <c r="AL58" t="n">
        <v>0</v>
      </c>
      <c r="AP58" t="n">
        <v>1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G58" s="60" t="inlineStr">
        <is>
          <t xml:space="preserve"> </t>
        </is>
      </c>
      <c r="BP58" t="n">
        <v>0</v>
      </c>
      <c r="CC58" s="98" t="n">
        <v>20</v>
      </c>
      <c r="CD58" t="n">
        <v>1</v>
      </c>
      <c r="CE58" t="n">
        <v>21</v>
      </c>
      <c r="CF58" t="n">
        <v>4</v>
      </c>
      <c r="CG58" t="n">
        <v>0</v>
      </c>
      <c r="CH58" t="n">
        <v>4</v>
      </c>
      <c r="CI58" t="n">
        <v>7</v>
      </c>
      <c r="CJ58" t="n">
        <v>8</v>
      </c>
      <c r="CK58" t="n">
        <v>28</v>
      </c>
      <c r="CL58" t="n">
        <v>12</v>
      </c>
      <c r="CM58" s="7" t="n">
        <v>97</v>
      </c>
    </row>
    <row r="59">
      <c r="A59" t="inlineStr">
        <is>
          <t>Preuss Jonas</t>
        </is>
      </c>
      <c r="B59" t="inlineStr">
        <is>
          <t>M</t>
        </is>
      </c>
      <c r="C59" t="n">
        <v>212</v>
      </c>
      <c r="D59" t="n">
        <v>1</v>
      </c>
      <c r="F59" t="n">
        <v>2</v>
      </c>
      <c r="G59" t="n">
        <v>2</v>
      </c>
      <c r="M59" s="92" t="n">
        <v>1</v>
      </c>
      <c r="N59" t="n">
        <v>4</v>
      </c>
      <c r="U59" t="n">
        <v>0</v>
      </c>
      <c r="Y59" s="98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3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W59" t="n">
        <v>0</v>
      </c>
      <c r="AX59" t="n">
        <v>0</v>
      </c>
      <c r="AY59" t="n">
        <v>0</v>
      </c>
      <c r="AZ59" t="n">
        <v>1</v>
      </c>
      <c r="BA59" t="n">
        <v>2</v>
      </c>
      <c r="BC59" t="n">
        <v>0</v>
      </c>
      <c r="BD59" t="n">
        <v>1</v>
      </c>
      <c r="BE59" t="n">
        <v>0</v>
      </c>
      <c r="BF59" t="n">
        <v>1</v>
      </c>
      <c r="BG59" s="60" t="inlineStr">
        <is>
          <t xml:space="preserve"> </t>
        </is>
      </c>
      <c r="BT59" t="n">
        <v>0</v>
      </c>
      <c r="CC59" s="98" t="n">
        <v>20</v>
      </c>
      <c r="CD59" t="n">
        <v>1</v>
      </c>
      <c r="CE59" t="n">
        <v>21</v>
      </c>
      <c r="CF59" t="n">
        <v>9</v>
      </c>
      <c r="CG59" t="n">
        <v>0</v>
      </c>
      <c r="CH59" t="n">
        <v>9</v>
      </c>
      <c r="CI59" t="n">
        <v>6</v>
      </c>
      <c r="CJ59" t="n">
        <v>10</v>
      </c>
      <c r="CK59" t="n">
        <v>27</v>
      </c>
      <c r="CL59" t="n">
        <v>19</v>
      </c>
      <c r="CM59" s="7" t="n">
        <v>239</v>
      </c>
    </row>
    <row r="60">
      <c r="A60" s="92" t="inlineStr">
        <is>
          <t>Preuss Marius</t>
        </is>
      </c>
      <c r="B60" s="92" t="inlineStr">
        <is>
          <t>M</t>
        </is>
      </c>
      <c r="C60" t="n">
        <v>13</v>
      </c>
      <c r="Y60" s="98" t="inlineStr">
        <is>
          <t xml:space="preserve"> </t>
        </is>
      </c>
      <c r="AZ60" t="n">
        <v>0</v>
      </c>
      <c r="BG60" s="60" t="inlineStr">
        <is>
          <t xml:space="preserve"> </t>
        </is>
      </c>
      <c r="BY60" t="n">
        <v>0</v>
      </c>
      <c r="CC60" s="98" t="n">
        <v>1</v>
      </c>
      <c r="CD60" t="n">
        <v>1</v>
      </c>
      <c r="CE60" t="n">
        <v>2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2</v>
      </c>
      <c r="CL60" t="n">
        <v>0</v>
      </c>
      <c r="CM60" s="7" t="n">
        <v>15</v>
      </c>
    </row>
    <row r="61">
      <c r="A61" t="inlineStr">
        <is>
          <t>Preuss Philip</t>
        </is>
      </c>
      <c r="B61" t="inlineStr">
        <is>
          <t>M</t>
        </is>
      </c>
      <c r="C61" t="n">
        <v>95</v>
      </c>
      <c r="H61" t="n">
        <v>0</v>
      </c>
      <c r="V61" t="n">
        <v>0</v>
      </c>
      <c r="Y61" s="98" t="inlineStr">
        <is>
          <t xml:space="preserve"> </t>
        </is>
      </c>
      <c r="BG61" s="60" t="inlineStr">
        <is>
          <t xml:space="preserve"> </t>
        </is>
      </c>
      <c r="BH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s="98" t="n">
        <v>0</v>
      </c>
      <c r="CD61" t="n">
        <v>18</v>
      </c>
      <c r="CE61" t="n">
        <v>18</v>
      </c>
      <c r="CF61" t="n">
        <v>0</v>
      </c>
      <c r="CG61" t="n">
        <v>0</v>
      </c>
      <c r="CH61" t="n">
        <v>0</v>
      </c>
      <c r="CI61" t="n">
        <v>2</v>
      </c>
      <c r="CJ61" t="n">
        <v>0</v>
      </c>
      <c r="CK61" t="n">
        <v>20</v>
      </c>
      <c r="CL61" t="n">
        <v>0</v>
      </c>
      <c r="CM61" s="7" t="n">
        <v>115</v>
      </c>
    </row>
    <row r="62">
      <c r="A62" t="inlineStr">
        <is>
          <t>Reuter J.</t>
        </is>
      </c>
      <c r="B62" t="inlineStr">
        <is>
          <t>M</t>
        </is>
      </c>
      <c r="C62" t="n">
        <v>147</v>
      </c>
      <c r="K62" t="n">
        <v>0</v>
      </c>
      <c r="Y62" s="98" t="n">
        <v>0</v>
      </c>
      <c r="AA62" t="n">
        <v>0</v>
      </c>
      <c r="AB62" t="n">
        <v>0</v>
      </c>
      <c r="AC62" t="n">
        <v>0</v>
      </c>
      <c r="AE62" t="n">
        <v>0</v>
      </c>
      <c r="AF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S62" t="n">
        <v>0</v>
      </c>
      <c r="AT62" t="n">
        <v>0</v>
      </c>
      <c r="AV62" t="n">
        <v>0</v>
      </c>
      <c r="AW62" t="n">
        <v>0</v>
      </c>
      <c r="AX62" t="n">
        <v>0</v>
      </c>
      <c r="AY62" t="n">
        <v>0</v>
      </c>
      <c r="BA62" t="n">
        <v>0</v>
      </c>
      <c r="BB62" t="n">
        <v>0</v>
      </c>
      <c r="BC62" t="n">
        <v>0</v>
      </c>
      <c r="BD62" t="n">
        <v>1</v>
      </c>
      <c r="BE62" t="n">
        <v>0</v>
      </c>
      <c r="BF62" t="n">
        <v>0</v>
      </c>
      <c r="BG62" s="60" t="inlineStr">
        <is>
          <t xml:space="preserve"> </t>
        </is>
      </c>
      <c r="CC62" s="98" t="n">
        <v>26</v>
      </c>
      <c r="CD62" t="n">
        <v>0</v>
      </c>
      <c r="CE62" t="n">
        <v>26</v>
      </c>
      <c r="CF62" t="n">
        <v>1</v>
      </c>
      <c r="CG62" t="n">
        <v>0</v>
      </c>
      <c r="CH62" t="n">
        <v>1</v>
      </c>
      <c r="CI62" t="n">
        <v>1</v>
      </c>
      <c r="CJ62" t="n">
        <v>0</v>
      </c>
      <c r="CK62" t="n">
        <v>27</v>
      </c>
      <c r="CL62" t="n">
        <v>1</v>
      </c>
      <c r="CM62" s="7" t="n">
        <v>174</v>
      </c>
    </row>
    <row r="63">
      <c r="A63" t="inlineStr">
        <is>
          <t>Roeder</t>
        </is>
      </c>
      <c r="B63" t="inlineStr">
        <is>
          <t>M</t>
        </is>
      </c>
      <c r="C63" t="n">
        <v>84</v>
      </c>
      <c r="Y63" s="98" t="inlineStr">
        <is>
          <t xml:space="preserve"> </t>
        </is>
      </c>
      <c r="BG63" s="60" t="inlineStr">
        <is>
          <t xml:space="preserve"> </t>
        </is>
      </c>
      <c r="BP63" t="n">
        <v>0</v>
      </c>
      <c r="BR63" t="n">
        <v>0</v>
      </c>
      <c r="CC63" s="98" t="n">
        <v>0</v>
      </c>
      <c r="CD63" t="n">
        <v>2</v>
      </c>
      <c r="CE63" t="n">
        <v>2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2</v>
      </c>
      <c r="CL63" t="n">
        <v>0</v>
      </c>
      <c r="CM63" s="7" t="n">
        <v>86</v>
      </c>
    </row>
    <row r="64">
      <c r="A64" t="inlineStr">
        <is>
          <t>Ruoff Ulli</t>
        </is>
      </c>
      <c r="B64" t="inlineStr">
        <is>
          <t>L</t>
        </is>
      </c>
      <c r="C64" s="56" t="n">
        <v>317</v>
      </c>
      <c r="D64" t="n">
        <v>0</v>
      </c>
      <c r="H64" t="n">
        <v>0</v>
      </c>
      <c r="K64" t="n">
        <v>0</v>
      </c>
      <c r="M64" t="n">
        <v>0</v>
      </c>
      <c r="N64" t="n">
        <v>0</v>
      </c>
      <c r="V64" t="n">
        <v>0</v>
      </c>
      <c r="Y64" s="98" t="inlineStr">
        <is>
          <t xml:space="preserve"> </t>
        </is>
      </c>
      <c r="AT64" t="n">
        <v>0</v>
      </c>
      <c r="BG64" s="60" t="inlineStr">
        <is>
          <t xml:space="preserve"> </t>
        </is>
      </c>
      <c r="BH64" t="n">
        <v>0</v>
      </c>
      <c r="BI64" t="n">
        <v>0</v>
      </c>
      <c r="BJ64" t="n">
        <v>0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CB64" t="n">
        <v>0</v>
      </c>
      <c r="CC64" s="98" t="n">
        <v>1</v>
      </c>
      <c r="CD64" t="n">
        <v>16</v>
      </c>
      <c r="CE64" t="n">
        <v>17</v>
      </c>
      <c r="CF64" t="n">
        <v>0</v>
      </c>
      <c r="CG64" t="n">
        <v>1</v>
      </c>
      <c r="CH64" t="n">
        <v>1</v>
      </c>
      <c r="CI64" t="n">
        <v>6</v>
      </c>
      <c r="CJ64" t="n">
        <v>0</v>
      </c>
      <c r="CK64" t="n">
        <v>23</v>
      </c>
      <c r="CL64" t="n">
        <v>1</v>
      </c>
      <c r="CM64" s="7" t="n">
        <v>340</v>
      </c>
    </row>
    <row r="65">
      <c r="A65" s="92" t="inlineStr">
        <is>
          <t>Schaumann David</t>
        </is>
      </c>
      <c r="B65" s="92" t="inlineStr">
        <is>
          <t>M</t>
        </is>
      </c>
      <c r="C65" t="n">
        <v>0</v>
      </c>
      <c r="V65" t="n">
        <v>0</v>
      </c>
      <c r="Y65" s="98" t="inlineStr">
        <is>
          <t xml:space="preserve"> </t>
        </is>
      </c>
      <c r="AN65" t="n">
        <v>0</v>
      </c>
      <c r="AU65" t="n">
        <v>0</v>
      </c>
      <c r="AV65" t="n">
        <v>0</v>
      </c>
      <c r="AY65" t="n">
        <v>0</v>
      </c>
      <c r="AZ65" t="n">
        <v>0</v>
      </c>
      <c r="BB65" t="n">
        <v>0</v>
      </c>
      <c r="BD65" t="n">
        <v>0</v>
      </c>
      <c r="BF65" t="n">
        <v>0</v>
      </c>
      <c r="BG65" s="60" t="inlineStr">
        <is>
          <t xml:space="preserve"> </t>
        </is>
      </c>
      <c r="BH65" t="n">
        <v>0</v>
      </c>
      <c r="BL65" t="n">
        <v>1</v>
      </c>
      <c r="BM65" t="n">
        <v>0</v>
      </c>
      <c r="BO65" t="n">
        <v>0</v>
      </c>
      <c r="BQ65" t="n">
        <v>0</v>
      </c>
      <c r="BU65" t="n">
        <v>0</v>
      </c>
      <c r="BW65" t="n">
        <v>0</v>
      </c>
      <c r="BX65" t="n">
        <v>0</v>
      </c>
      <c r="CC65" s="98" t="n">
        <v>8</v>
      </c>
      <c r="CD65" t="n">
        <v>8</v>
      </c>
      <c r="CE65" t="n">
        <v>16</v>
      </c>
      <c r="CF65" t="n">
        <v>0</v>
      </c>
      <c r="CG65" t="n">
        <v>1</v>
      </c>
      <c r="CH65" t="n">
        <v>1</v>
      </c>
      <c r="CI65" t="n">
        <v>1</v>
      </c>
      <c r="CJ65" t="n">
        <v>0</v>
      </c>
      <c r="CK65" t="n">
        <v>17</v>
      </c>
      <c r="CL65" t="n">
        <v>1</v>
      </c>
      <c r="CM65" s="7" t="n">
        <v>17</v>
      </c>
    </row>
    <row r="66">
      <c r="A66" t="inlineStr">
        <is>
          <t>Schaumann Seb</t>
        </is>
      </c>
      <c r="B66" t="inlineStr">
        <is>
          <t>M</t>
        </is>
      </c>
      <c r="C66" t="n">
        <v>77</v>
      </c>
      <c r="D66" t="n">
        <v>1</v>
      </c>
      <c r="G66" t="n">
        <v>1</v>
      </c>
      <c r="H66" t="n">
        <v>0</v>
      </c>
      <c r="K66" t="n">
        <v>0</v>
      </c>
      <c r="U66" t="n">
        <v>0</v>
      </c>
      <c r="Y66" s="98" t="n">
        <v>0</v>
      </c>
      <c r="AA66" t="n">
        <v>1</v>
      </c>
      <c r="AB66" t="n">
        <v>0</v>
      </c>
      <c r="AC66" t="n">
        <v>1</v>
      </c>
      <c r="AD66" t="n">
        <v>0</v>
      </c>
      <c r="AE66" t="n">
        <v>1</v>
      </c>
      <c r="AG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s="60" t="inlineStr">
        <is>
          <t xml:space="preserve"> </t>
        </is>
      </c>
      <c r="BV66" t="n">
        <v>0</v>
      </c>
      <c r="CC66" s="98" t="n">
        <v>23</v>
      </c>
      <c r="CD66" t="n">
        <v>1</v>
      </c>
      <c r="CE66" t="n">
        <v>24</v>
      </c>
      <c r="CF66" t="n">
        <v>4</v>
      </c>
      <c r="CG66" t="n">
        <v>0</v>
      </c>
      <c r="CH66" t="n">
        <v>4</v>
      </c>
      <c r="CI66" t="n">
        <v>5</v>
      </c>
      <c r="CJ66" t="n">
        <v>2</v>
      </c>
      <c r="CK66" t="n">
        <v>29</v>
      </c>
      <c r="CL66" t="n">
        <v>6</v>
      </c>
      <c r="CM66" s="7" t="n">
        <v>106</v>
      </c>
    </row>
    <row r="67">
      <c r="A67" t="inlineStr">
        <is>
          <t>Schwenk Kevin</t>
        </is>
      </c>
      <c r="B67" t="inlineStr">
        <is>
          <t>L</t>
        </is>
      </c>
      <c r="C67" t="n">
        <v>136</v>
      </c>
      <c r="K67" s="92" t="n">
        <v>0</v>
      </c>
      <c r="Y67" s="98" t="inlineStr">
        <is>
          <t xml:space="preserve"> </t>
        </is>
      </c>
      <c r="AT67" t="n">
        <v>0</v>
      </c>
      <c r="AU67" t="n">
        <v>0</v>
      </c>
      <c r="AV67" t="n">
        <v>0</v>
      </c>
      <c r="BG67" s="60" t="inlineStr">
        <is>
          <t xml:space="preserve"> </t>
        </is>
      </c>
      <c r="BU67" t="n">
        <v>0</v>
      </c>
      <c r="BV67" t="n">
        <v>0</v>
      </c>
      <c r="BW67" t="n">
        <v>1</v>
      </c>
      <c r="BX67" t="n">
        <v>0</v>
      </c>
      <c r="BY67" t="n">
        <v>0</v>
      </c>
      <c r="BZ67" t="n">
        <v>0</v>
      </c>
      <c r="CB67" t="n">
        <v>0</v>
      </c>
      <c r="CC67" s="98" t="n">
        <v>3</v>
      </c>
      <c r="CD67" t="n">
        <v>7</v>
      </c>
      <c r="CE67" t="n">
        <v>10</v>
      </c>
      <c r="CF67" t="n">
        <v>0</v>
      </c>
      <c r="CG67" t="n">
        <v>1</v>
      </c>
      <c r="CH67" t="n">
        <v>1</v>
      </c>
      <c r="CI67" t="n">
        <v>1</v>
      </c>
      <c r="CJ67" t="n">
        <v>0</v>
      </c>
      <c r="CK67" t="n">
        <v>11</v>
      </c>
      <c r="CL67" t="n">
        <v>1</v>
      </c>
      <c r="CM67" s="7" t="n">
        <v>147</v>
      </c>
    </row>
    <row r="68">
      <c r="A68" t="inlineStr">
        <is>
          <t>Seidel Jan</t>
        </is>
      </c>
      <c r="C68" t="n">
        <v>7</v>
      </c>
      <c r="F68" t="n">
        <v>0</v>
      </c>
      <c r="G68" t="n">
        <v>1</v>
      </c>
      <c r="N68" t="n">
        <v>0</v>
      </c>
      <c r="V68" t="n">
        <v>0</v>
      </c>
      <c r="Y68" s="98" t="n">
        <v>0</v>
      </c>
      <c r="BG68" s="60" t="inlineStr">
        <is>
          <t xml:space="preserve"> </t>
        </is>
      </c>
      <c r="BI68" t="n">
        <v>0</v>
      </c>
      <c r="BJ68" t="n">
        <v>0</v>
      </c>
      <c r="BL68" t="n">
        <v>0</v>
      </c>
      <c r="BM68" t="n">
        <v>0</v>
      </c>
      <c r="BN68" t="n">
        <v>1</v>
      </c>
      <c r="BU68" t="n">
        <v>0</v>
      </c>
      <c r="BW68" t="n">
        <v>0</v>
      </c>
      <c r="CC68" s="98" t="n">
        <v>1</v>
      </c>
      <c r="CD68" t="n">
        <v>7</v>
      </c>
      <c r="CE68" t="n">
        <v>8</v>
      </c>
      <c r="CF68" t="n">
        <v>0</v>
      </c>
      <c r="CG68" t="n">
        <v>1</v>
      </c>
      <c r="CH68" t="n">
        <v>1</v>
      </c>
      <c r="CI68" t="n">
        <v>4</v>
      </c>
      <c r="CJ68" t="n">
        <v>1</v>
      </c>
      <c r="CK68" t="n">
        <v>12</v>
      </c>
      <c r="CL68" t="n">
        <v>2</v>
      </c>
      <c r="CM68" s="7" t="n">
        <v>19</v>
      </c>
    </row>
    <row r="69">
      <c r="A69" t="inlineStr">
        <is>
          <t>Sekinger Fabian</t>
        </is>
      </c>
      <c r="B69" t="inlineStr">
        <is>
          <t>L</t>
        </is>
      </c>
      <c r="C69" t="n">
        <v>47</v>
      </c>
      <c r="D69" t="n">
        <v>0</v>
      </c>
      <c r="M69" t="n">
        <v>0</v>
      </c>
      <c r="N69" t="n">
        <v>0</v>
      </c>
      <c r="U69" t="n">
        <v>0</v>
      </c>
      <c r="V69" t="n">
        <v>0</v>
      </c>
      <c r="Y69" s="98" t="n">
        <v>0</v>
      </c>
      <c r="AG69" t="n">
        <v>0</v>
      </c>
      <c r="BG69" s="60" t="inlineStr">
        <is>
          <t xml:space="preserve"> </t>
        </is>
      </c>
      <c r="BH69" t="n">
        <v>0</v>
      </c>
      <c r="BI69" t="n">
        <v>0</v>
      </c>
      <c r="BJ69" t="n">
        <v>0</v>
      </c>
      <c r="BK69" t="n">
        <v>0</v>
      </c>
      <c r="CC69" s="98" t="n">
        <v>2</v>
      </c>
      <c r="CD69" t="n">
        <v>4</v>
      </c>
      <c r="CE69" t="n">
        <v>6</v>
      </c>
      <c r="CF69" t="n">
        <v>0</v>
      </c>
      <c r="CG69" t="n">
        <v>0</v>
      </c>
      <c r="CH69" t="n">
        <v>0</v>
      </c>
      <c r="CI69" t="n">
        <v>5</v>
      </c>
      <c r="CJ69" t="n">
        <v>0</v>
      </c>
      <c r="CK69" t="n">
        <v>11</v>
      </c>
      <c r="CL69" t="n">
        <v>0</v>
      </c>
      <c r="CM69" s="7" t="n">
        <v>58</v>
      </c>
    </row>
    <row r="70">
      <c r="A70" t="inlineStr">
        <is>
          <t>Staiger Elmar</t>
        </is>
      </c>
      <c r="B70" t="inlineStr">
        <is>
          <t>L</t>
        </is>
      </c>
      <c r="C70" s="56" t="n">
        <v>205</v>
      </c>
      <c r="Y70" s="98" t="inlineStr">
        <is>
          <t xml:space="preserve"> </t>
        </is>
      </c>
      <c r="BG70" s="60" t="inlineStr">
        <is>
          <t xml:space="preserve"> </t>
        </is>
      </c>
      <c r="CC70" s="98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s="7" t="n">
        <v>205</v>
      </c>
    </row>
    <row r="71">
      <c r="A71" t="inlineStr">
        <is>
          <t>Staiger Tobias</t>
        </is>
      </c>
      <c r="B71" t="inlineStr">
        <is>
          <t>L</t>
        </is>
      </c>
      <c r="C71" s="56" t="n">
        <v>250</v>
      </c>
      <c r="Y71" s="98" t="inlineStr">
        <is>
          <t xml:space="preserve"> </t>
        </is>
      </c>
      <c r="AU71" t="n">
        <v>0</v>
      </c>
      <c r="AV71" t="n">
        <v>0</v>
      </c>
      <c r="AW71" t="n">
        <v>0</v>
      </c>
      <c r="AX71" t="n">
        <v>2</v>
      </c>
      <c r="AY71" t="n">
        <v>0</v>
      </c>
      <c r="BD71" t="n">
        <v>0</v>
      </c>
      <c r="BE71" t="n">
        <v>2</v>
      </c>
      <c r="BF71" t="n">
        <v>0</v>
      </c>
      <c r="BG71" s="60" t="inlineStr">
        <is>
          <t xml:space="preserve"> </t>
        </is>
      </c>
      <c r="BJ71" t="n">
        <v>0</v>
      </c>
      <c r="BQ71" t="n">
        <v>0</v>
      </c>
      <c r="BT71" t="n">
        <v>0</v>
      </c>
      <c r="CC71" s="98" t="n">
        <v>8</v>
      </c>
      <c r="CD71" t="n">
        <v>3</v>
      </c>
      <c r="CE71" t="n">
        <v>11</v>
      </c>
      <c r="CF71" t="n">
        <v>4</v>
      </c>
      <c r="CG71" t="n">
        <v>0</v>
      </c>
      <c r="CH71" t="n">
        <v>4</v>
      </c>
      <c r="CI71" t="n">
        <v>0</v>
      </c>
      <c r="CJ71" t="n">
        <v>0</v>
      </c>
      <c r="CK71" t="n">
        <v>11</v>
      </c>
      <c r="CL71" t="n">
        <v>4</v>
      </c>
      <c r="CM71" s="7" t="n">
        <v>261</v>
      </c>
    </row>
    <row r="72">
      <c r="A72" t="inlineStr">
        <is>
          <t>Stein Matthias</t>
        </is>
      </c>
      <c r="B72" t="inlineStr">
        <is>
          <t>L</t>
        </is>
      </c>
      <c r="C72" s="56" t="n">
        <v>130</v>
      </c>
      <c r="Y72" s="98" t="inlineStr">
        <is>
          <t xml:space="preserve"> </t>
        </is>
      </c>
      <c r="BG72" s="60" t="inlineStr">
        <is>
          <t xml:space="preserve"> </t>
        </is>
      </c>
      <c r="CC72" s="98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s="7" t="n">
        <v>130</v>
      </c>
    </row>
    <row r="73">
      <c r="A73" t="inlineStr">
        <is>
          <t>Stern Alexander</t>
        </is>
      </c>
      <c r="B73" t="inlineStr">
        <is>
          <t>M</t>
        </is>
      </c>
      <c r="C73" t="n">
        <v>91</v>
      </c>
      <c r="D73" t="n">
        <v>0</v>
      </c>
      <c r="F73" t="n">
        <v>0</v>
      </c>
      <c r="G73" t="n">
        <v>0</v>
      </c>
      <c r="H73" t="n">
        <v>0</v>
      </c>
      <c r="I73" s="92" t="n"/>
      <c r="J73" s="92" t="n"/>
      <c r="K73" s="92" t="n">
        <v>0</v>
      </c>
      <c r="M73" t="n">
        <v>0</v>
      </c>
      <c r="N73" t="n">
        <v>0</v>
      </c>
      <c r="U73" t="n">
        <v>0</v>
      </c>
      <c r="V73" t="n">
        <v>0</v>
      </c>
      <c r="Y73" s="98" t="n">
        <v>0</v>
      </c>
      <c r="AA73" t="n">
        <v>0</v>
      </c>
      <c r="AB73" t="n">
        <v>0</v>
      </c>
      <c r="AC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s="60" t="inlineStr">
        <is>
          <t xml:space="preserve"> </t>
        </is>
      </c>
      <c r="BK73" t="n">
        <v>0</v>
      </c>
      <c r="BW73" t="n">
        <v>0</v>
      </c>
      <c r="CC73" s="98" t="n">
        <v>26</v>
      </c>
      <c r="CD73" t="n">
        <v>2</v>
      </c>
      <c r="CE73" t="n">
        <v>28</v>
      </c>
      <c r="CF73" t="n">
        <v>0</v>
      </c>
      <c r="CG73" t="n">
        <v>0</v>
      </c>
      <c r="CH73" t="n">
        <v>0</v>
      </c>
      <c r="CI73" t="n">
        <v>9</v>
      </c>
      <c r="CJ73" t="n">
        <v>0</v>
      </c>
      <c r="CK73" t="n">
        <v>37</v>
      </c>
      <c r="CL73" t="n">
        <v>0</v>
      </c>
      <c r="CM73" s="7" t="n">
        <v>128</v>
      </c>
    </row>
    <row r="74">
      <c r="A74" t="inlineStr">
        <is>
          <t>Storz Tobi</t>
        </is>
      </c>
      <c r="B74" t="inlineStr">
        <is>
          <t>M</t>
        </is>
      </c>
      <c r="C74" t="n">
        <v>107</v>
      </c>
      <c r="Y74" s="98" t="inlineStr">
        <is>
          <t xml:space="preserve"> </t>
        </is>
      </c>
      <c r="BG74" s="60" t="inlineStr">
        <is>
          <t xml:space="preserve"> </t>
        </is>
      </c>
      <c r="CC74" s="98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s="7" t="n">
        <v>107</v>
      </c>
    </row>
    <row r="75">
      <c r="A75" t="inlineStr">
        <is>
          <t>Thies Yannick</t>
        </is>
      </c>
      <c r="C75" t="n">
        <v>0</v>
      </c>
      <c r="Y75" s="98" t="inlineStr">
        <is>
          <t xml:space="preserve"> </t>
        </is>
      </c>
      <c r="BG75" s="60" t="inlineStr">
        <is>
          <t xml:space="preserve"> </t>
        </is>
      </c>
      <c r="CB75" t="n">
        <v>0</v>
      </c>
      <c r="CC75" s="98" t="n">
        <v>0</v>
      </c>
      <c r="CD75" t="n">
        <v>1</v>
      </c>
      <c r="CE75" t="n">
        <v>1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1</v>
      </c>
      <c r="CL75" t="n">
        <v>0</v>
      </c>
      <c r="CM75" s="7" t="n">
        <v>1</v>
      </c>
    </row>
    <row r="76">
      <c r="A76" t="inlineStr">
        <is>
          <t>Tramnitz Christoph</t>
        </is>
      </c>
      <c r="B76" t="inlineStr">
        <is>
          <t>L</t>
        </is>
      </c>
      <c r="C76" t="n">
        <v>98</v>
      </c>
      <c r="D76" t="n">
        <v>0</v>
      </c>
      <c r="G76" t="n">
        <v>1</v>
      </c>
      <c r="K76" t="n">
        <v>0</v>
      </c>
      <c r="M76" t="n">
        <v>0</v>
      </c>
      <c r="Y76" s="98" t="n">
        <v>0</v>
      </c>
      <c r="AA76" t="n">
        <v>1</v>
      </c>
      <c r="AB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P76" t="n">
        <v>1</v>
      </c>
      <c r="AR76" t="n">
        <v>0</v>
      </c>
      <c r="AS76" t="n">
        <v>1</v>
      </c>
      <c r="AT76" t="n">
        <v>0</v>
      </c>
      <c r="BG76" s="60" t="inlineStr">
        <is>
          <t xml:space="preserve"> </t>
        </is>
      </c>
      <c r="BZ76" t="n">
        <v>0</v>
      </c>
      <c r="CA76" t="n">
        <v>0</v>
      </c>
      <c r="CC76" s="98" t="n">
        <v>17</v>
      </c>
      <c r="CD76" t="n">
        <v>2</v>
      </c>
      <c r="CE76" t="n">
        <v>19</v>
      </c>
      <c r="CF76" t="n">
        <v>4</v>
      </c>
      <c r="CG76" t="n">
        <v>0</v>
      </c>
      <c r="CH76" t="n">
        <v>4</v>
      </c>
      <c r="CI76" t="n">
        <v>4</v>
      </c>
      <c r="CJ76" t="n">
        <v>1</v>
      </c>
      <c r="CK76" t="n">
        <v>23</v>
      </c>
      <c r="CL76" t="n">
        <v>5</v>
      </c>
      <c r="CM76" s="7" t="n">
        <v>121</v>
      </c>
    </row>
    <row r="77">
      <c r="A77" t="inlineStr">
        <is>
          <t>Tramnitz Lukas</t>
        </is>
      </c>
      <c r="B77" t="inlineStr">
        <is>
          <t>L</t>
        </is>
      </c>
      <c r="C77" t="n">
        <v>12</v>
      </c>
      <c r="U77" t="n">
        <v>0</v>
      </c>
      <c r="Y77" s="98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2</v>
      </c>
      <c r="AN77" t="n">
        <v>0</v>
      </c>
      <c r="AO77" t="n">
        <v>0</v>
      </c>
      <c r="AP77" t="n">
        <v>0</v>
      </c>
      <c r="AS77" t="n">
        <v>0</v>
      </c>
      <c r="BG77" s="60" t="inlineStr">
        <is>
          <t xml:space="preserve"> </t>
        </is>
      </c>
      <c r="CC77" s="98" t="n">
        <v>18</v>
      </c>
      <c r="CD77" t="n">
        <v>0</v>
      </c>
      <c r="CE77" t="n">
        <v>18</v>
      </c>
      <c r="CF77" t="n">
        <v>4</v>
      </c>
      <c r="CG77" t="n">
        <v>0</v>
      </c>
      <c r="CH77" t="n">
        <v>4</v>
      </c>
      <c r="CI77" t="n">
        <v>1</v>
      </c>
      <c r="CJ77" t="n">
        <v>0</v>
      </c>
      <c r="CK77" t="n">
        <v>19</v>
      </c>
      <c r="CL77" t="n">
        <v>4</v>
      </c>
      <c r="CM77" s="7" t="n">
        <v>31</v>
      </c>
    </row>
    <row r="78">
      <c r="A78" t="inlineStr">
        <is>
          <t>Trenkle Jan</t>
        </is>
      </c>
      <c r="B78" t="inlineStr">
        <is>
          <t>M</t>
        </is>
      </c>
      <c r="C78" t="n">
        <v>48</v>
      </c>
      <c r="F78" t="n">
        <v>0</v>
      </c>
      <c r="G78" t="n">
        <v>0</v>
      </c>
      <c r="Y78" s="98" t="inlineStr">
        <is>
          <t xml:space="preserve"> </t>
        </is>
      </c>
      <c r="BG78" s="60" t="inlineStr">
        <is>
          <t xml:space="preserve"> </t>
        </is>
      </c>
      <c r="BJ78" t="n">
        <v>0</v>
      </c>
      <c r="BL78" t="n">
        <v>0</v>
      </c>
      <c r="BM78" t="n">
        <v>0</v>
      </c>
      <c r="BN78" t="n">
        <v>0</v>
      </c>
      <c r="BO78" t="n">
        <v>0</v>
      </c>
      <c r="BQ78" t="n">
        <v>1</v>
      </c>
      <c r="BW78" t="n">
        <v>1</v>
      </c>
      <c r="BY78" t="n">
        <v>1</v>
      </c>
      <c r="BZ78" t="n">
        <v>0</v>
      </c>
      <c r="CC78" s="98" t="n">
        <v>0</v>
      </c>
      <c r="CD78" t="n">
        <v>9</v>
      </c>
      <c r="CE78" t="n">
        <v>9</v>
      </c>
      <c r="CF78" t="n">
        <v>0</v>
      </c>
      <c r="CG78" t="n">
        <v>3</v>
      </c>
      <c r="CH78" t="n">
        <v>3</v>
      </c>
      <c r="CI78" t="n">
        <v>2</v>
      </c>
      <c r="CJ78" t="n">
        <v>0</v>
      </c>
      <c r="CK78" t="n">
        <v>11</v>
      </c>
      <c r="CL78" t="n">
        <v>3</v>
      </c>
      <c r="CM78" s="7" t="n">
        <v>59</v>
      </c>
    </row>
    <row r="79">
      <c r="A79" t="inlineStr">
        <is>
          <t>Verino Roberto</t>
        </is>
      </c>
      <c r="B79" t="inlineStr">
        <is>
          <t>M</t>
        </is>
      </c>
      <c r="C79" t="n">
        <v>96</v>
      </c>
      <c r="Y79" s="98" t="inlineStr">
        <is>
          <t xml:space="preserve"> </t>
        </is>
      </c>
      <c r="BG79" s="60" t="inlineStr">
        <is>
          <t xml:space="preserve"> </t>
        </is>
      </c>
      <c r="CC79" s="98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s="7" t="n">
        <v>96</v>
      </c>
    </row>
    <row r="80">
      <c r="A80" t="inlineStr">
        <is>
          <t>Zehnder Matze</t>
        </is>
      </c>
      <c r="B80" t="inlineStr">
        <is>
          <t>M</t>
        </is>
      </c>
      <c r="C80" t="n">
        <v>49</v>
      </c>
      <c r="F80" t="n">
        <v>0</v>
      </c>
      <c r="N80" t="n">
        <v>0</v>
      </c>
      <c r="V80" t="n">
        <v>0</v>
      </c>
      <c r="Y80" s="98" t="inlineStr">
        <is>
          <t xml:space="preserve"> </t>
        </is>
      </c>
      <c r="BG80" s="60" t="inlineStr">
        <is>
          <t xml:space="preserve"> </t>
        </is>
      </c>
      <c r="BH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1</v>
      </c>
      <c r="BX80" t="n">
        <v>0</v>
      </c>
      <c r="BY80" t="n">
        <v>0</v>
      </c>
      <c r="CA80" t="n">
        <v>0</v>
      </c>
      <c r="CC80" s="98" t="n">
        <v>0</v>
      </c>
      <c r="CD80" t="n">
        <v>17</v>
      </c>
      <c r="CE80" t="n">
        <v>17</v>
      </c>
      <c r="CF80" t="n">
        <v>0</v>
      </c>
      <c r="CG80" t="n">
        <v>1</v>
      </c>
      <c r="CH80" t="n">
        <v>1</v>
      </c>
      <c r="CI80" t="n">
        <v>3</v>
      </c>
      <c r="CJ80" t="n">
        <v>0</v>
      </c>
      <c r="CK80" t="n">
        <v>20</v>
      </c>
      <c r="CL80" t="n">
        <v>1</v>
      </c>
      <c r="CM80" s="7" t="n">
        <v>69</v>
      </c>
    </row>
  </sheetData>
  <mergeCells count="8">
    <mergeCell ref="S2:X2"/>
    <mergeCell ref="D2:R2"/>
    <mergeCell ref="A2:A4"/>
    <mergeCell ref="C2:C4"/>
    <mergeCell ref="Y2:CB2"/>
    <mergeCell ref="CC2:CM2"/>
    <mergeCell ref="B2:B4"/>
    <mergeCell ref="E1:C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J98"/>
  <sheetViews>
    <sheetView topLeftCell="A47" workbookViewId="0">
      <selection activeCell="C77" sqref="C77"/>
    </sheetView>
  </sheetViews>
  <sheetFormatPr baseColWidth="10" defaultColWidth="9.140625" defaultRowHeight="12.75"/>
  <cols>
    <col width="18.5703125" bestFit="1" customWidth="1" style="91" min="1" max="1"/>
  </cols>
  <sheetData>
    <row r="1" ht="35.45" customHeight="1" s="91">
      <c r="E1" s="90" t="inlineStr">
        <is>
          <t>Saison 17/18</t>
        </is>
      </c>
    </row>
    <row r="2">
      <c r="A2" s="93" t="inlineStr">
        <is>
          <t>Spieler</t>
        </is>
      </c>
      <c r="B2" s="93" t="n"/>
      <c r="C2" s="95" t="inlineStr">
        <is>
          <t>Spiele bisher</t>
        </is>
      </c>
      <c r="D2" s="92" t="inlineStr">
        <is>
          <t>Freundschaftsspiele</t>
        </is>
      </c>
      <c r="T2" s="92" t="inlineStr">
        <is>
          <t>Pokalspiele</t>
        </is>
      </c>
      <c r="Y2" s="98" t="inlineStr">
        <is>
          <t>Punktspiele</t>
        </is>
      </c>
      <c r="BZ2" s="98" t="inlineStr">
        <is>
          <t>Anzahl</t>
        </is>
      </c>
    </row>
    <row r="3">
      <c r="C3" s="96" t="n"/>
      <c r="D3" s="92" t="inlineStr">
        <is>
          <t xml:space="preserve"> </t>
        </is>
      </c>
      <c r="E3" s="92" t="inlineStr">
        <is>
          <t>I</t>
        </is>
      </c>
      <c r="F3" s="92" t="inlineStr">
        <is>
          <t>I</t>
        </is>
      </c>
      <c r="G3" s="92" t="inlineStr">
        <is>
          <t>I</t>
        </is>
      </c>
      <c r="H3" s="92" t="inlineStr">
        <is>
          <t>I</t>
        </is>
      </c>
      <c r="I3" s="92" t="inlineStr">
        <is>
          <t>I</t>
        </is>
      </c>
      <c r="J3" s="92" t="inlineStr">
        <is>
          <t>I</t>
        </is>
      </c>
      <c r="K3" s="92" t="inlineStr">
        <is>
          <t>I</t>
        </is>
      </c>
      <c r="L3" s="92" t="inlineStr">
        <is>
          <t>I</t>
        </is>
      </c>
      <c r="M3" s="92" t="inlineStr">
        <is>
          <t>I</t>
        </is>
      </c>
      <c r="N3" s="92" t="n"/>
      <c r="O3" s="92" t="inlineStr">
        <is>
          <t>II</t>
        </is>
      </c>
      <c r="P3" s="92" t="inlineStr">
        <is>
          <t>II</t>
        </is>
      </c>
      <c r="R3" s="92" t="n"/>
      <c r="S3" s="92" t="n"/>
      <c r="T3" s="92" t="inlineStr">
        <is>
          <t>I</t>
        </is>
      </c>
      <c r="U3" s="92" t="n"/>
      <c r="V3" s="92" t="inlineStr">
        <is>
          <t>II</t>
        </is>
      </c>
      <c r="W3" s="92" t="n"/>
      <c r="Y3" s="51" t="inlineStr">
        <is>
          <t>I</t>
        </is>
      </c>
      <c r="Z3" s="92" t="inlineStr">
        <is>
          <t>I</t>
        </is>
      </c>
      <c r="AA3" t="inlineStr">
        <is>
          <t>I</t>
        </is>
      </c>
      <c r="AB3" s="92" t="inlineStr">
        <is>
          <t>I</t>
        </is>
      </c>
      <c r="AC3" t="inlineStr">
        <is>
          <t>I</t>
        </is>
      </c>
      <c r="AD3" s="92" t="inlineStr">
        <is>
          <t>I</t>
        </is>
      </c>
      <c r="AE3" t="inlineStr">
        <is>
          <t>I</t>
        </is>
      </c>
      <c r="AF3" s="92" t="inlineStr">
        <is>
          <t>I</t>
        </is>
      </c>
      <c r="AG3" t="inlineStr">
        <is>
          <t>I</t>
        </is>
      </c>
      <c r="AH3" s="92" t="inlineStr">
        <is>
          <t>I</t>
        </is>
      </c>
      <c r="AI3" t="inlineStr">
        <is>
          <t>I</t>
        </is>
      </c>
      <c r="AJ3" s="92" t="inlineStr">
        <is>
          <t>I</t>
        </is>
      </c>
      <c r="AK3" t="inlineStr">
        <is>
          <t>I</t>
        </is>
      </c>
      <c r="AL3" s="92" t="inlineStr">
        <is>
          <t>I</t>
        </is>
      </c>
      <c r="AM3" t="inlineStr">
        <is>
          <t>I</t>
        </is>
      </c>
      <c r="AN3" s="92" t="inlineStr">
        <is>
          <t>I</t>
        </is>
      </c>
      <c r="AO3" t="inlineStr">
        <is>
          <t>I</t>
        </is>
      </c>
      <c r="AP3" s="92" t="inlineStr">
        <is>
          <t>I</t>
        </is>
      </c>
      <c r="AQ3" s="92" t="inlineStr">
        <is>
          <t>I</t>
        </is>
      </c>
      <c r="AR3" s="92" t="inlineStr">
        <is>
          <t>I</t>
        </is>
      </c>
      <c r="AS3" s="92" t="inlineStr">
        <is>
          <t>I</t>
        </is>
      </c>
      <c r="AT3" t="inlineStr">
        <is>
          <t>I</t>
        </is>
      </c>
      <c r="AU3" s="92" t="inlineStr">
        <is>
          <t>I</t>
        </is>
      </c>
      <c r="AV3" t="inlineStr">
        <is>
          <t>I</t>
        </is>
      </c>
      <c r="AW3" s="92" t="inlineStr">
        <is>
          <t>I</t>
        </is>
      </c>
      <c r="AX3" t="inlineStr">
        <is>
          <t>I</t>
        </is>
      </c>
      <c r="AY3" s="92" t="inlineStr">
        <is>
          <t>I</t>
        </is>
      </c>
      <c r="AZ3" t="inlineStr">
        <is>
          <t>I</t>
        </is>
      </c>
      <c r="BA3" s="92" t="inlineStr">
        <is>
          <t>I</t>
        </is>
      </c>
      <c r="BB3" t="inlineStr">
        <is>
          <t>I</t>
        </is>
      </c>
      <c r="BC3" s="92" t="n"/>
      <c r="BD3" s="92" t="inlineStr">
        <is>
          <t>II</t>
        </is>
      </c>
      <c r="BE3" s="92" t="inlineStr">
        <is>
          <t>II</t>
        </is>
      </c>
      <c r="BF3" s="92" t="inlineStr">
        <is>
          <t>II</t>
        </is>
      </c>
      <c r="BG3" s="92" t="inlineStr">
        <is>
          <t>II</t>
        </is>
      </c>
      <c r="BH3" s="92" t="inlineStr">
        <is>
          <t>II</t>
        </is>
      </c>
      <c r="BI3" s="92" t="inlineStr">
        <is>
          <t>II</t>
        </is>
      </c>
      <c r="BJ3" s="92" t="inlineStr">
        <is>
          <t>II</t>
        </is>
      </c>
      <c r="BK3" s="92" t="inlineStr">
        <is>
          <t>II</t>
        </is>
      </c>
      <c r="BL3" s="92" t="inlineStr">
        <is>
          <t>II</t>
        </is>
      </c>
      <c r="BM3" s="92" t="inlineStr">
        <is>
          <t>II</t>
        </is>
      </c>
      <c r="BN3" s="92" t="inlineStr">
        <is>
          <t>II</t>
        </is>
      </c>
      <c r="BO3" s="92" t="inlineStr">
        <is>
          <t>II</t>
        </is>
      </c>
      <c r="BP3" s="92" t="inlineStr">
        <is>
          <t>II</t>
        </is>
      </c>
      <c r="BQ3" s="92" t="inlineStr">
        <is>
          <t>II</t>
        </is>
      </c>
      <c r="BR3" s="92" t="inlineStr">
        <is>
          <t>II</t>
        </is>
      </c>
      <c r="BS3" s="92" t="inlineStr">
        <is>
          <t>II</t>
        </is>
      </c>
      <c r="BT3" s="92" t="inlineStr">
        <is>
          <t>II</t>
        </is>
      </c>
      <c r="BU3" s="92" t="inlineStr">
        <is>
          <t>II</t>
        </is>
      </c>
      <c r="BV3" s="92" t="inlineStr">
        <is>
          <t>II</t>
        </is>
      </c>
      <c r="BW3" s="92" t="inlineStr">
        <is>
          <t>II</t>
        </is>
      </c>
      <c r="BX3" s="92" t="inlineStr">
        <is>
          <t>II</t>
        </is>
      </c>
      <c r="BY3" s="92" t="inlineStr">
        <is>
          <t>II</t>
        </is>
      </c>
      <c r="BZ3" s="98" t="inlineStr">
        <is>
          <t xml:space="preserve"> </t>
        </is>
      </c>
      <c r="CA3" s="42" t="n"/>
      <c r="CB3" s="42" t="n"/>
      <c r="CC3" s="42" t="n"/>
      <c r="CD3" s="42" t="n"/>
      <c r="CE3" s="42" t="n"/>
      <c r="CF3" s="42" t="n"/>
      <c r="CG3" s="42" t="n"/>
    </row>
    <row r="4" ht="215.45" customHeight="1" s="91">
      <c r="A4" s="94" t="n"/>
      <c r="B4" s="94" t="n"/>
      <c r="C4" s="97" t="n"/>
      <c r="D4" s="61" t="inlineStr">
        <is>
          <t xml:space="preserve"> </t>
        </is>
      </c>
      <c r="E4" s="61" t="inlineStr">
        <is>
          <t>So, 16.07.17 SG Lo/​Ma I : SV Tuningen</t>
        </is>
      </c>
      <c r="F4" s="61" t="inlineStr">
        <is>
          <t>Mi, 19.07.2017 SG Lo/​Ma I : FV Kickers Lauterbach</t>
        </is>
      </c>
      <c r="G4" s="62" t="inlineStr">
        <is>
          <t>Sa, 29.07.2017 SG Lo/​Ma I : Spvgg 08 Schramberg</t>
        </is>
      </c>
      <c r="H4" s="61" t="inlineStr">
        <is>
          <t>So, 06.08.2017 SG Lo/​Ma I : SC Kaltbrunn</t>
        </is>
      </c>
      <c r="I4" s="62" t="inlineStr">
        <is>
          <t>Sa, 03.02.18 Spvgg Stetten-Lackendorf :  SG Lo/​Ma I</t>
        </is>
      </c>
      <c r="J4" s="61" t="inlineStr">
        <is>
          <t>Di, 06.02.18 SC Kaltbrunn:  SG Lo/​Ma I</t>
        </is>
      </c>
      <c r="K4" s="62" t="inlineStr">
        <is>
          <t>So, 18.02.18 Spvgg 08 Schramberg :  SG Lo/​Ma I</t>
        </is>
      </c>
      <c r="L4" s="62" t="inlineStr">
        <is>
          <t>Do, 22.02.18 FV Kickers Lauterbach : SG Lo/​Ma I</t>
        </is>
      </c>
      <c r="M4" s="62" t="inlineStr">
        <is>
          <t>Do, 01.03.18 FV Kickers Lauterbach :  SG Lo/​Ma I</t>
        </is>
      </c>
      <c r="N4" s="61" t="inlineStr">
        <is>
          <t xml:space="preserve"> </t>
        </is>
      </c>
      <c r="O4" s="61" t="inlineStr">
        <is>
          <t>Sa, 12.08.17 SG Lo/​Ma II : FC Hardt II</t>
        </is>
      </c>
      <c r="P4" s="61" t="inlineStr">
        <is>
          <t>So, 27.08.17 SV Horgen II : SG Lo/​Ma II</t>
        </is>
      </c>
      <c r="Q4" s="63" t="n"/>
      <c r="R4" s="64" t="inlineStr">
        <is>
          <t xml:space="preserve"> </t>
        </is>
      </c>
      <c r="S4" s="63" t="n"/>
      <c r="T4" s="61" t="inlineStr">
        <is>
          <t>Mi, 30.08.2017 FC Frittlingen : SG Lo/​Ma</t>
        </is>
      </c>
      <c r="U4" s="65" t="n"/>
      <c r="V4" s="61" t="inlineStr">
        <is>
          <t>Mi, 30.08.17 SG Lo/​Ma II : Türk SV Schramberg</t>
        </is>
      </c>
      <c r="W4" s="64" t="inlineStr">
        <is>
          <t xml:space="preserve"> </t>
        </is>
      </c>
      <c r="X4" s="66" t="inlineStr">
        <is>
          <t xml:space="preserve"> </t>
        </is>
      </c>
      <c r="Y4" s="67" t="inlineStr">
        <is>
          <t>So, 20.08.17 Türk SV Schramberg : SG Lo/​Ma I</t>
        </is>
      </c>
      <c r="Z4" s="67" t="inlineStr">
        <is>
          <t>Mi, 23.08.17 SG Lo/​Ma I : SV Winzeln</t>
        </is>
      </c>
      <c r="AA4" s="67" t="inlineStr">
        <is>
          <t>Sa, 26.08.17 SGM Deißlingen/​Lauffen : SG Lo/​Ma I</t>
        </is>
      </c>
      <c r="AB4" s="67" t="inlineStr">
        <is>
          <t>So. 03.09.17 SG Lo/​Ma I : SPIELFREI</t>
        </is>
      </c>
      <c r="AC4" s="67" t="inlineStr">
        <is>
          <t>So. 10.09.17 SG Lo/​Ma I : SC Lindenhof</t>
        </is>
      </c>
      <c r="AD4" s="68" t="inlineStr">
        <is>
          <t>Do. 14.09.17 FC Hardt : SG Lo/​Ma I</t>
        </is>
      </c>
      <c r="AE4" s="67" t="inlineStr">
        <is>
          <t>So. 17.09.17 SG Lo/​Ma I : FC Suebia Rottweil</t>
        </is>
      </c>
      <c r="AF4" s="67" t="inlineStr">
        <is>
          <t>24.09.17 SV Irslingen : SG Lo/​Ma I</t>
        </is>
      </c>
      <c r="AG4" s="67" t="inlineStr">
        <is>
          <t>01.10.17 SG Lo/​Ma I : FC Epfendorf</t>
        </is>
      </c>
      <c r="AH4" s="67" t="inlineStr">
        <is>
          <t>08.10.17 SV Harthausen : SG Lo/​Ma I</t>
        </is>
      </c>
      <c r="AI4" s="67" t="inlineStr">
        <is>
          <t>So. 15.10.17 SG Lo/​Ma I : SV Horgen</t>
        </is>
      </c>
      <c r="AJ4" s="67" t="inlineStr">
        <is>
          <t>So. 22.10.17 SV Waldmössingen : SG Lo/​Ma I</t>
        </is>
      </c>
      <c r="AK4" s="67" t="inlineStr">
        <is>
          <t>So. 29.10.17 SG MaLo I : Spvgg Oberndorf</t>
        </is>
      </c>
      <c r="AL4" s="67" t="inlineStr">
        <is>
          <t>So, 05.11.17 SV Herrenzimmern : SG Lo/​Ma I</t>
        </is>
      </c>
      <c r="AM4" s="67" t="inlineStr">
        <is>
          <t>So, 15.03.18 SG Lo/​Ma I : FSV Zepfenhan</t>
        </is>
      </c>
      <c r="AN4" s="67" t="inlineStr">
        <is>
          <t>So, 28.03.18 SG Lo/​Ma I : Türk SV Schramberg</t>
        </is>
      </c>
      <c r="AO4" s="67" t="inlineStr">
        <is>
          <t>Sa, 22.03.18 SV Winzeln : SG Lo/​Ma I</t>
        </is>
      </c>
      <c r="AP4" s="67" t="inlineStr">
        <is>
          <t>So, 11.03.18 SG Lo/​Ma I : SGM Deißlingen/​Lauffen</t>
        </is>
      </c>
      <c r="AQ4" s="67" t="inlineStr">
        <is>
          <t>So, 18.03.18 SG Lo/​Ma I : SPIELFREI</t>
        </is>
      </c>
      <c r="AR4" s="67" t="inlineStr">
        <is>
          <t>So, 25.03.18 SC Lindenhof : SG Lo/​Ma I</t>
        </is>
      </c>
      <c r="AS4" s="67" t="inlineStr">
        <is>
          <t>Sa, 31.03.18 SG Lo/​Ma I : FC Hardt</t>
        </is>
      </c>
      <c r="AT4" s="67" t="inlineStr">
        <is>
          <t>So, 08.04.18 FC Suebia Rottweil : SG Lo/​Ma I</t>
        </is>
      </c>
      <c r="AU4" s="67" t="inlineStr">
        <is>
          <t>So, 15.04.18 SG Lo/​Ma I : SV Irslingen</t>
        </is>
      </c>
      <c r="AV4" s="67" t="inlineStr">
        <is>
          <t>So, 22.04.18 FC Epfendorf  : SG Lo/​Ma I</t>
        </is>
      </c>
      <c r="AW4" s="68" t="inlineStr">
        <is>
          <t>So, 29.04.18 SG Lo/​Ma I : SV Harthausen</t>
        </is>
      </c>
      <c r="AX4" s="67" t="inlineStr">
        <is>
          <t>Fr, 04.05.18 SV Horgen : SG Lo/​Ma I</t>
        </is>
      </c>
      <c r="AY4" s="67" t="inlineStr">
        <is>
          <t>So, 13.05.18 SG Lo/​Ma I : SV Waldmössingen</t>
        </is>
      </c>
      <c r="AZ4" s="67" t="inlineStr">
        <is>
          <t>So, 27.05.18 Spvgg Oberndorf : SG Lo/​Ma I</t>
        </is>
      </c>
      <c r="BA4" s="67" t="inlineStr">
        <is>
          <t>So, 03.06.18 SG Lo/​Ma I : SV Herrenzimmern</t>
        </is>
      </c>
      <c r="BB4" s="67" t="inlineStr">
        <is>
          <t>So, 10.06.18 FSV Zepfenhan : SG Lo/​Ma I</t>
        </is>
      </c>
      <c r="BC4" s="69" t="inlineStr">
        <is>
          <t xml:space="preserve"> </t>
        </is>
      </c>
      <c r="BD4" s="67" t="inlineStr">
        <is>
          <t>Fr, 08.09.2017 SG Lo/​Ma II : FC Göllsdorf II</t>
        </is>
      </c>
      <c r="BE4" s="67" t="inlineStr">
        <is>
          <t>So, 17.09.2017 SGM Aichhalden/​Rötenberg III : SG Lo/​Ma II</t>
        </is>
      </c>
      <c r="BF4" s="67" t="inlineStr">
        <is>
          <t>So, 24.09.2017 SG Lo/​Ma II : SV Sulgen II</t>
        </is>
      </c>
      <c r="BG4" s="67" t="inlineStr">
        <is>
          <t>So, 01.10.2017 SG Lo/​Ma II  : SC Lindenhof II</t>
        </is>
      </c>
      <c r="BH4" s="67" t="inlineStr">
        <is>
          <t xml:space="preserve">Fr, 06.10.2017 FC Göllsdorf II : SG Lo/​Ma II </t>
        </is>
      </c>
      <c r="BI4" s="67" t="inlineStr">
        <is>
          <t>So, 15.10.2017 SG Lo/​Ma II  : Spvgg 08 Schramberg II</t>
        </is>
      </c>
      <c r="BJ4" s="67" t="inlineStr">
        <is>
          <t xml:space="preserve">So, 22.10.2017 FC Dunningen II : SG Lo/​Ma II </t>
        </is>
      </c>
      <c r="BK4" s="67" t="inlineStr">
        <is>
          <t>So, 29.10.2017 SG Lo/​Ma II  : Spvgg Stetten-Lackendorf I</t>
        </is>
      </c>
      <c r="BL4" s="67" t="inlineStr">
        <is>
          <t>So, 05.11.2017 SV Waldmössingen II : SG Lo/​Ma II</t>
        </is>
      </c>
      <c r="BM4" s="67" t="inlineStr">
        <is>
          <t>Fr, 13.04.2018 SG Lo/​Ma II : FV Kickers Lauterbach II</t>
        </is>
      </c>
      <c r="BN4" s="67" t="inlineStr">
        <is>
          <t xml:space="preserve">Do, 29.03.2018 SV Herrenzimmern II : SG Lo/​Ma II </t>
        </is>
      </c>
      <c r="BO4" s="67" t="inlineStr">
        <is>
          <t>Fr, 20.04.2018 SG Lo/​Ma II : SV Winzeln II</t>
        </is>
      </c>
      <c r="BP4" s="67" t="inlineStr">
        <is>
          <t>So, 25.03.2018 SC Lindenhof II : SG Lo/​Ma II</t>
        </is>
      </c>
      <c r="BQ4" s="67" t="inlineStr">
        <is>
          <t xml:space="preserve">So, 08.04.2018 Spvgg 08 Schramberg II : SG Lo/​Ma II </t>
        </is>
      </c>
      <c r="BR4" s="67" t="inlineStr">
        <is>
          <t>So, 15.04.2018 SG Lo/​Ma II : FC Dunningen II</t>
        </is>
      </c>
      <c r="BS4" s="67" t="inlineStr">
        <is>
          <t xml:space="preserve">So, 22.04.2018 Spvgg Stetten-Lackendorf II : SG Lo/​Ma II </t>
        </is>
      </c>
      <c r="BT4" s="67" t="inlineStr">
        <is>
          <t>So, 29.04.2018 SG Lo/​Ma II  : SV Waldmössingen II</t>
        </is>
      </c>
      <c r="BU4" s="67" t="inlineStr">
        <is>
          <t>Do, 10.05.2018 FV Kickers Lauterbach II : SG Lo/​Ma II</t>
        </is>
      </c>
      <c r="BV4" s="67" t="inlineStr">
        <is>
          <t>So, 13.05.2018 SG Lo/​Ma II : SV Herrenzimmern II</t>
        </is>
      </c>
      <c r="BW4" s="67" t="inlineStr">
        <is>
          <t>So, 27.05.2018 SV Sulgen II : SG Lo/​Ma II</t>
        </is>
      </c>
      <c r="BX4" s="67" t="inlineStr">
        <is>
          <t>So, 03.06.2018 SG Lo/​Ma II : SGM Aichhalden/​Rötenberg III</t>
        </is>
      </c>
      <c r="BY4" s="67" t="inlineStr">
        <is>
          <t xml:space="preserve">So, 10.06.2018 SV Winzeln II : SG Lo/​Ma II </t>
        </is>
      </c>
      <c r="BZ4" s="46" t="inlineStr">
        <is>
          <t>Punktspiele I</t>
        </is>
      </c>
      <c r="CA4" s="43" t="inlineStr">
        <is>
          <t>Punktspiele II</t>
        </is>
      </c>
      <c r="CB4" s="43" t="inlineStr">
        <is>
          <t>Punktspiele I+II</t>
        </is>
      </c>
      <c r="CC4" s="43" t="inlineStr">
        <is>
          <t>Tore Punktspiele I</t>
        </is>
      </c>
      <c r="CD4" s="43" t="inlineStr">
        <is>
          <t>Tore Punktspiele II</t>
        </is>
      </c>
      <c r="CE4" s="43" t="inlineStr">
        <is>
          <t>Tore Punktspiele I+II</t>
        </is>
      </c>
      <c r="CF4" s="43" t="inlineStr">
        <is>
          <t>Freundschaftssp.</t>
        </is>
      </c>
      <c r="CG4" s="43" t="inlineStr">
        <is>
          <t>Tore Freundschaftssp.</t>
        </is>
      </c>
      <c r="CH4" s="43" t="inlineStr">
        <is>
          <t>Spiele</t>
        </is>
      </c>
      <c r="CI4" s="43" t="inlineStr">
        <is>
          <t>Tore</t>
        </is>
      </c>
      <c r="CJ4" s="6" t="inlineStr">
        <is>
          <t>Spiele gesamt</t>
        </is>
      </c>
    </row>
    <row r="5">
      <c r="A5" t="inlineStr">
        <is>
          <t>Aichele Thomas</t>
        </is>
      </c>
      <c r="B5" t="inlineStr">
        <is>
          <t>L</t>
        </is>
      </c>
      <c r="C5" t="n">
        <v>131</v>
      </c>
      <c r="Y5" s="98" t="inlineStr">
        <is>
          <t xml:space="preserve"> </t>
        </is>
      </c>
      <c r="BC5" s="60" t="inlineStr">
        <is>
          <t xml:space="preserve"> </t>
        </is>
      </c>
      <c r="BZ5" s="98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131</v>
      </c>
      <c r="CH5" t="n">
        <v>0</v>
      </c>
      <c r="CI5" t="n">
        <v>131</v>
      </c>
      <c r="CJ5" s="7" t="n">
        <v>131</v>
      </c>
    </row>
    <row r="6">
      <c r="A6" t="inlineStr">
        <is>
          <t>Auber Armin</t>
        </is>
      </c>
      <c r="B6" t="inlineStr">
        <is>
          <t>M</t>
        </is>
      </c>
      <c r="C6" t="n">
        <v>32</v>
      </c>
      <c r="Y6" s="98" t="inlineStr">
        <is>
          <t xml:space="preserve"> </t>
        </is>
      </c>
      <c r="BC6" s="60" t="inlineStr">
        <is>
          <t xml:space="preserve"> </t>
        </is>
      </c>
      <c r="BP6" t="n">
        <v>0</v>
      </c>
      <c r="BZ6" s="98" t="n">
        <v>0</v>
      </c>
      <c r="CA6" t="n">
        <v>1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32</v>
      </c>
      <c r="CH6" t="n">
        <v>1</v>
      </c>
      <c r="CI6" t="n">
        <v>32</v>
      </c>
      <c r="CJ6" s="7" t="n">
        <v>33</v>
      </c>
    </row>
    <row r="7">
      <c r="A7" t="inlineStr">
        <is>
          <t>Auber Axel</t>
        </is>
      </c>
      <c r="B7" t="inlineStr">
        <is>
          <t>M</t>
        </is>
      </c>
      <c r="C7" t="n">
        <v>382</v>
      </c>
      <c r="Y7" s="98" t="inlineStr">
        <is>
          <t xml:space="preserve"> </t>
        </is>
      </c>
      <c r="BC7" s="60" t="inlineStr">
        <is>
          <t xml:space="preserve"> </t>
        </is>
      </c>
      <c r="BZ7" s="98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382</v>
      </c>
      <c r="CH7" t="n">
        <v>0</v>
      </c>
      <c r="CI7" t="n">
        <v>382</v>
      </c>
      <c r="CJ7" s="7" t="n">
        <v>382</v>
      </c>
    </row>
    <row r="8">
      <c r="A8" t="inlineStr">
        <is>
          <t>Auber Manuel</t>
        </is>
      </c>
      <c r="C8" t="n">
        <v>6</v>
      </c>
      <c r="Y8" s="98" t="inlineStr">
        <is>
          <t xml:space="preserve"> </t>
        </is>
      </c>
      <c r="BC8" s="60" t="inlineStr">
        <is>
          <t xml:space="preserve"> </t>
        </is>
      </c>
      <c r="BZ8" s="9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6</v>
      </c>
      <c r="CH8" t="n">
        <v>0</v>
      </c>
      <c r="CI8" t="n">
        <v>6</v>
      </c>
      <c r="CJ8" s="7" t="n">
        <v>6</v>
      </c>
    </row>
    <row r="9">
      <c r="A9" t="inlineStr">
        <is>
          <t>Augstein M</t>
        </is>
      </c>
      <c r="B9" t="inlineStr">
        <is>
          <t>L</t>
        </is>
      </c>
      <c r="C9" t="n">
        <v>269</v>
      </c>
      <c r="V9" t="n">
        <v>0</v>
      </c>
      <c r="Y9" s="98" t="inlineStr">
        <is>
          <t xml:space="preserve"> </t>
        </is>
      </c>
      <c r="BC9" s="60" t="inlineStr">
        <is>
          <t xml:space="preserve"> </t>
        </is>
      </c>
      <c r="BK9" t="n">
        <v>0</v>
      </c>
      <c r="BL9" t="n">
        <v>0</v>
      </c>
      <c r="BY9" t="n">
        <v>0</v>
      </c>
      <c r="BZ9" s="98" t="n">
        <v>0</v>
      </c>
      <c r="CA9" t="n">
        <v>3</v>
      </c>
      <c r="CB9" t="n">
        <v>3</v>
      </c>
      <c r="CC9" t="n">
        <v>0</v>
      </c>
      <c r="CD9" t="n">
        <v>0</v>
      </c>
      <c r="CE9" t="n">
        <v>0</v>
      </c>
      <c r="CF9" t="n">
        <v>1</v>
      </c>
      <c r="CG9" t="n">
        <v>269</v>
      </c>
      <c r="CH9" t="n">
        <v>4</v>
      </c>
      <c r="CI9" t="n">
        <v>269</v>
      </c>
      <c r="CJ9" s="7" t="n">
        <v>273</v>
      </c>
    </row>
    <row r="10">
      <c r="A10" t="inlineStr">
        <is>
          <t>Bannert Dirk</t>
        </is>
      </c>
      <c r="B10" t="inlineStr">
        <is>
          <t>L</t>
        </is>
      </c>
      <c r="C10" t="n">
        <v>273</v>
      </c>
      <c r="Y10" s="98" t="inlineStr">
        <is>
          <t xml:space="preserve"> </t>
        </is>
      </c>
      <c r="BC10" s="60" t="inlineStr">
        <is>
          <t xml:space="preserve"> </t>
        </is>
      </c>
      <c r="BZ10" s="98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273</v>
      </c>
      <c r="CH10" t="n">
        <v>0</v>
      </c>
      <c r="CI10" t="n">
        <v>273</v>
      </c>
      <c r="CJ10" s="7" t="n">
        <v>273</v>
      </c>
    </row>
    <row r="11">
      <c r="A11" s="92" t="inlineStr">
        <is>
          <t>Barwari Sarbast</t>
        </is>
      </c>
      <c r="C11" t="n">
        <v>13</v>
      </c>
      <c r="Y11" s="98" t="inlineStr">
        <is>
          <t xml:space="preserve"> </t>
        </is>
      </c>
      <c r="BC11" s="60" t="inlineStr">
        <is>
          <t xml:space="preserve"> </t>
        </is>
      </c>
      <c r="BN11" t="n">
        <v>0</v>
      </c>
      <c r="BP11" t="n">
        <v>0</v>
      </c>
      <c r="BQ11" t="n">
        <v>0</v>
      </c>
      <c r="BR11" t="n">
        <v>0</v>
      </c>
      <c r="BU11" t="n">
        <v>0</v>
      </c>
      <c r="BV11" t="n">
        <v>1</v>
      </c>
      <c r="BW11" t="n">
        <v>0</v>
      </c>
      <c r="BX11" t="n">
        <v>0</v>
      </c>
      <c r="BZ11" s="98" t="n">
        <v>0</v>
      </c>
      <c r="CA11" t="n">
        <v>8</v>
      </c>
      <c r="CB11" t="n">
        <v>8</v>
      </c>
      <c r="CC11" t="n">
        <v>0</v>
      </c>
      <c r="CD11" t="n">
        <v>1</v>
      </c>
      <c r="CE11" t="n">
        <v>1</v>
      </c>
      <c r="CF11" t="n">
        <v>0</v>
      </c>
      <c r="CG11" t="n">
        <v>13</v>
      </c>
      <c r="CH11" t="n">
        <v>8</v>
      </c>
      <c r="CI11" t="n">
        <v>14</v>
      </c>
      <c r="CJ11" s="7" t="n">
        <v>21</v>
      </c>
    </row>
    <row r="12">
      <c r="A12" s="92" t="inlineStr">
        <is>
          <t>Bea, Marc</t>
        </is>
      </c>
      <c r="C12" t="n">
        <v>0</v>
      </c>
      <c r="Y12" s="98" t="inlineStr">
        <is>
          <t xml:space="preserve"> </t>
        </is>
      </c>
      <c r="BC12" s="60" t="inlineStr">
        <is>
          <t xml:space="preserve"> </t>
        </is>
      </c>
      <c r="BQ12" t="n">
        <v>0</v>
      </c>
      <c r="BZ12" s="98" t="n">
        <v>0</v>
      </c>
      <c r="CA12" t="n">
        <v>1</v>
      </c>
      <c r="CB12" t="n">
        <v>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s="7" t="n">
        <v>1</v>
      </c>
    </row>
    <row r="13">
      <c r="A13" t="inlineStr">
        <is>
          <t>Bekir Kilic</t>
        </is>
      </c>
      <c r="B13" t="inlineStr">
        <is>
          <t>L</t>
        </is>
      </c>
      <c r="C13" t="n">
        <v>137</v>
      </c>
      <c r="Y13" s="98" t="inlineStr">
        <is>
          <t xml:space="preserve"> </t>
        </is>
      </c>
      <c r="BC13" s="60" t="inlineStr">
        <is>
          <t xml:space="preserve"> </t>
        </is>
      </c>
      <c r="BZ13" s="98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137</v>
      </c>
      <c r="CH13" t="n">
        <v>0</v>
      </c>
      <c r="CI13" t="n">
        <v>137</v>
      </c>
      <c r="CJ13" s="7" t="n">
        <v>137</v>
      </c>
    </row>
    <row r="14">
      <c r="A14" t="inlineStr">
        <is>
          <t>Benner, Florian</t>
        </is>
      </c>
      <c r="B14" t="inlineStr">
        <is>
          <t>M</t>
        </is>
      </c>
      <c r="C14" t="n">
        <v>65</v>
      </c>
      <c r="Y14" s="98" t="inlineStr">
        <is>
          <t xml:space="preserve"> </t>
        </is>
      </c>
      <c r="BC14" s="60" t="inlineStr">
        <is>
          <t xml:space="preserve"> </t>
        </is>
      </c>
      <c r="BI14" t="n">
        <v>0</v>
      </c>
      <c r="BJ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V14" t="n">
        <v>0</v>
      </c>
      <c r="BW14" t="n">
        <v>0</v>
      </c>
      <c r="BX14" t="n">
        <v>0</v>
      </c>
      <c r="BY14" t="n">
        <v>0</v>
      </c>
      <c r="BZ14" s="98" t="n">
        <v>0</v>
      </c>
      <c r="CA14" t="n">
        <v>14</v>
      </c>
      <c r="CB14" t="n">
        <v>14</v>
      </c>
      <c r="CC14" t="n">
        <v>0</v>
      </c>
      <c r="CD14" t="n">
        <v>0</v>
      </c>
      <c r="CE14" t="n">
        <v>0</v>
      </c>
      <c r="CF14" t="n">
        <v>0</v>
      </c>
      <c r="CG14" t="n">
        <v>65</v>
      </c>
      <c r="CH14" t="n">
        <v>14</v>
      </c>
      <c r="CI14" t="n">
        <v>65</v>
      </c>
      <c r="CJ14" s="7" t="n">
        <v>79</v>
      </c>
    </row>
    <row r="15">
      <c r="A15" t="inlineStr">
        <is>
          <t>Binnig Andre</t>
        </is>
      </c>
      <c r="B15" t="inlineStr">
        <is>
          <t>L</t>
        </is>
      </c>
      <c r="C15" t="n">
        <v>158</v>
      </c>
      <c r="F15" t="n">
        <v>0</v>
      </c>
      <c r="H15" t="n">
        <v>0</v>
      </c>
      <c r="J15" t="n">
        <v>0</v>
      </c>
      <c r="O15" t="n">
        <v>0</v>
      </c>
      <c r="Y15" s="98" t="n">
        <v>0</v>
      </c>
      <c r="Z15" t="n">
        <v>0</v>
      </c>
      <c r="AA15" t="n">
        <v>0</v>
      </c>
      <c r="AC15" t="n">
        <v>0</v>
      </c>
      <c r="AD15" t="n">
        <v>0</v>
      </c>
      <c r="AE15" t="n">
        <v>0</v>
      </c>
      <c r="AF15" t="n">
        <v>0</v>
      </c>
      <c r="AH15" t="n">
        <v>0</v>
      </c>
      <c r="AI15" t="n">
        <v>0</v>
      </c>
      <c r="AK15" t="n">
        <v>0</v>
      </c>
      <c r="AL15" t="n">
        <v>0</v>
      </c>
      <c r="AN15" t="n">
        <v>0</v>
      </c>
      <c r="AO15" t="n">
        <v>0</v>
      </c>
      <c r="AP15" t="n">
        <v>0</v>
      </c>
      <c r="AR15" t="n">
        <v>0</v>
      </c>
      <c r="AS15" t="n">
        <v>0</v>
      </c>
      <c r="AT15" t="n">
        <v>0</v>
      </c>
      <c r="AU15" t="n">
        <v>0</v>
      </c>
      <c r="AZ15" t="n">
        <v>0</v>
      </c>
      <c r="BC15" s="60" t="inlineStr">
        <is>
          <t xml:space="preserve"> </t>
        </is>
      </c>
      <c r="BT15" t="n">
        <v>0</v>
      </c>
      <c r="BZ15" s="98" t="n">
        <v>19</v>
      </c>
      <c r="CA15" t="n">
        <v>1</v>
      </c>
      <c r="CB15" t="n">
        <v>20</v>
      </c>
      <c r="CC15" t="n">
        <v>0</v>
      </c>
      <c r="CD15" t="n">
        <v>0</v>
      </c>
      <c r="CE15" t="n">
        <v>0</v>
      </c>
      <c r="CF15" t="n">
        <v>4</v>
      </c>
      <c r="CG15" t="n">
        <v>158</v>
      </c>
      <c r="CH15" t="n">
        <v>24</v>
      </c>
      <c r="CI15" t="n">
        <v>158</v>
      </c>
      <c r="CJ15" s="7" t="n">
        <v>182</v>
      </c>
    </row>
    <row r="16">
      <c r="A16" t="inlineStr">
        <is>
          <t>Bosch M.</t>
        </is>
      </c>
      <c r="B16" t="inlineStr">
        <is>
          <t>L</t>
        </is>
      </c>
      <c r="C16" t="n">
        <v>462</v>
      </c>
      <c r="E16" t="n">
        <v>0</v>
      </c>
      <c r="J16" t="n">
        <v>0</v>
      </c>
      <c r="O16" t="n">
        <v>0</v>
      </c>
      <c r="P16" t="n">
        <v>0</v>
      </c>
      <c r="R16" s="92" t="n"/>
      <c r="Y16" s="98" t="n">
        <v>0</v>
      </c>
      <c r="AX16" t="n">
        <v>0</v>
      </c>
      <c r="BC16" s="60" t="inlineStr">
        <is>
          <t xml:space="preserve"> </t>
        </is>
      </c>
      <c r="BD16" t="n">
        <v>0</v>
      </c>
      <c r="BE16" t="n">
        <v>0</v>
      </c>
      <c r="BG16" t="n">
        <v>0</v>
      </c>
      <c r="BI16" t="n">
        <v>0</v>
      </c>
      <c r="BJ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X16" t="n">
        <v>0</v>
      </c>
      <c r="BY16" t="n">
        <v>0</v>
      </c>
      <c r="BZ16" s="98" t="n">
        <v>2</v>
      </c>
      <c r="CA16" t="n">
        <v>17</v>
      </c>
      <c r="CB16" t="n">
        <v>19</v>
      </c>
      <c r="CC16" t="n">
        <v>0</v>
      </c>
      <c r="CD16" t="n">
        <v>0</v>
      </c>
      <c r="CE16" t="n">
        <v>0</v>
      </c>
      <c r="CF16" t="n">
        <v>4</v>
      </c>
      <c r="CG16" t="n">
        <v>462</v>
      </c>
      <c r="CH16" t="n">
        <v>23</v>
      </c>
      <c r="CI16" t="n">
        <v>462</v>
      </c>
      <c r="CJ16" s="7" t="n">
        <v>485</v>
      </c>
    </row>
    <row r="17">
      <c r="A17" t="inlineStr">
        <is>
          <t>Broghammer Felix</t>
        </is>
      </c>
      <c r="C17" t="n">
        <v>1</v>
      </c>
      <c r="R17" s="92" t="n"/>
      <c r="Y17" s="98" t="inlineStr">
        <is>
          <t xml:space="preserve"> </t>
        </is>
      </c>
      <c r="BC17" s="60" t="inlineStr">
        <is>
          <t xml:space="preserve"> </t>
        </is>
      </c>
      <c r="BF17" t="n">
        <v>0</v>
      </c>
      <c r="BZ17" s="98" t="n">
        <v>0</v>
      </c>
      <c r="CA17" t="n">
        <v>1</v>
      </c>
      <c r="CB17" t="n">
        <v>1</v>
      </c>
      <c r="CC17" t="n">
        <v>0</v>
      </c>
      <c r="CD17" t="n">
        <v>0</v>
      </c>
      <c r="CE17" t="n">
        <v>0</v>
      </c>
      <c r="CF17" t="n">
        <v>0</v>
      </c>
      <c r="CG17" t="n">
        <v>1</v>
      </c>
      <c r="CH17" t="n">
        <v>1</v>
      </c>
      <c r="CI17" t="n">
        <v>1</v>
      </c>
      <c r="CJ17" s="7" t="n">
        <v>2</v>
      </c>
    </row>
    <row r="18">
      <c r="A18" t="inlineStr">
        <is>
          <t>Broghammer Michael</t>
        </is>
      </c>
      <c r="B18" t="inlineStr">
        <is>
          <t>M</t>
        </is>
      </c>
      <c r="C18" t="n">
        <v>25</v>
      </c>
      <c r="Y18" s="98" t="inlineStr">
        <is>
          <t xml:space="preserve"> </t>
        </is>
      </c>
      <c r="BC18" s="60" t="inlineStr">
        <is>
          <t xml:space="preserve"> </t>
        </is>
      </c>
      <c r="BZ18" s="9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25</v>
      </c>
      <c r="CH18" t="n">
        <v>0</v>
      </c>
      <c r="CI18" t="n">
        <v>25</v>
      </c>
      <c r="CJ18" s="7" t="n">
        <v>25</v>
      </c>
    </row>
    <row r="19">
      <c r="A19" t="inlineStr">
        <is>
          <t>Coraci Davide</t>
        </is>
      </c>
      <c r="B19" t="inlineStr">
        <is>
          <t>L</t>
        </is>
      </c>
      <c r="C19" t="n">
        <v>51</v>
      </c>
      <c r="P19" t="n">
        <v>0</v>
      </c>
      <c r="V19" t="n">
        <v>0</v>
      </c>
      <c r="Y19" s="98" t="inlineStr">
        <is>
          <t xml:space="preserve"> </t>
        </is>
      </c>
      <c r="BC19" s="60" t="inlineStr">
        <is>
          <t xml:space="preserve"> </t>
        </is>
      </c>
      <c r="BF19" t="n">
        <v>0</v>
      </c>
      <c r="BG19" t="n">
        <v>0</v>
      </c>
      <c r="BL19" t="n">
        <v>0</v>
      </c>
      <c r="BN19" t="n">
        <v>0</v>
      </c>
      <c r="BZ19" s="98" t="n">
        <v>0</v>
      </c>
      <c r="CA19" t="n">
        <v>4</v>
      </c>
      <c r="CB19" t="n">
        <v>4</v>
      </c>
      <c r="CC19" t="n">
        <v>0</v>
      </c>
      <c r="CD19" t="n">
        <v>0</v>
      </c>
      <c r="CE19" t="n">
        <v>0</v>
      </c>
      <c r="CF19" t="n">
        <v>2</v>
      </c>
      <c r="CG19" t="n">
        <v>51</v>
      </c>
      <c r="CH19" t="n">
        <v>6</v>
      </c>
      <c r="CI19" t="n">
        <v>51</v>
      </c>
      <c r="CJ19" s="7" t="n">
        <v>57</v>
      </c>
    </row>
    <row r="20">
      <c r="A20" t="inlineStr">
        <is>
          <t>Czerny A</t>
        </is>
      </c>
      <c r="B20" t="inlineStr">
        <is>
          <t>M</t>
        </is>
      </c>
      <c r="C20" t="n">
        <v>228</v>
      </c>
      <c r="Y20" s="98" t="inlineStr">
        <is>
          <t xml:space="preserve"> </t>
        </is>
      </c>
      <c r="BC20" s="60" t="inlineStr">
        <is>
          <t xml:space="preserve"> </t>
        </is>
      </c>
      <c r="BZ20" s="98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228</v>
      </c>
      <c r="CH20" t="n">
        <v>0</v>
      </c>
      <c r="CI20" t="n">
        <v>228</v>
      </c>
      <c r="CJ20" s="7" t="n">
        <v>228</v>
      </c>
    </row>
    <row r="21">
      <c r="A21" t="inlineStr">
        <is>
          <t>Dereck Christian</t>
        </is>
      </c>
      <c r="B21" t="inlineStr">
        <is>
          <t>M</t>
        </is>
      </c>
      <c r="C21" t="n">
        <v>69</v>
      </c>
      <c r="R21" s="92" t="n"/>
      <c r="Y21" s="98" t="inlineStr">
        <is>
          <t xml:space="preserve"> </t>
        </is>
      </c>
      <c r="BC21" s="60" t="inlineStr">
        <is>
          <t xml:space="preserve"> </t>
        </is>
      </c>
      <c r="BZ21" s="98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69</v>
      </c>
      <c r="CH21" t="n">
        <v>0</v>
      </c>
      <c r="CI21" t="n">
        <v>69</v>
      </c>
      <c r="CJ21" s="7" t="n">
        <v>69</v>
      </c>
    </row>
    <row r="22">
      <c r="A22" t="inlineStr">
        <is>
          <t>Dold Markus</t>
        </is>
      </c>
      <c r="B22" t="inlineStr">
        <is>
          <t>M</t>
        </is>
      </c>
      <c r="C22" t="n">
        <v>152</v>
      </c>
      <c r="F22" t="n">
        <v>0</v>
      </c>
      <c r="N22" s="92" t="n"/>
      <c r="O22" s="92" t="n"/>
      <c r="P22" s="92" t="n"/>
      <c r="Y22" s="98" t="inlineStr">
        <is>
          <t xml:space="preserve"> </t>
        </is>
      </c>
      <c r="BC22" s="60" t="inlineStr">
        <is>
          <t xml:space="preserve"> </t>
        </is>
      </c>
      <c r="BZ22" s="98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n">
        <v>152</v>
      </c>
      <c r="CH22" t="n">
        <v>1</v>
      </c>
      <c r="CI22" t="n">
        <v>152</v>
      </c>
      <c r="CJ22" s="7" t="n">
        <v>153</v>
      </c>
    </row>
    <row r="23">
      <c r="A23" t="inlineStr">
        <is>
          <t>Ebert D.</t>
        </is>
      </c>
      <c r="B23" t="inlineStr">
        <is>
          <t>M</t>
        </is>
      </c>
      <c r="C23" t="n">
        <v>387</v>
      </c>
      <c r="Y23" s="98" t="inlineStr">
        <is>
          <t xml:space="preserve"> </t>
        </is>
      </c>
      <c r="BC23" s="60" t="inlineStr">
        <is>
          <t xml:space="preserve"> </t>
        </is>
      </c>
      <c r="BZ23" s="98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387</v>
      </c>
      <c r="CH23" t="n">
        <v>0</v>
      </c>
      <c r="CI23" t="n">
        <v>387</v>
      </c>
      <c r="CJ23" s="7" t="n">
        <v>387</v>
      </c>
    </row>
    <row r="24">
      <c r="A24" t="inlineStr">
        <is>
          <t>Ebert M.</t>
        </is>
      </c>
      <c r="B24" t="inlineStr">
        <is>
          <t>M</t>
        </is>
      </c>
      <c r="C24" t="n">
        <v>269</v>
      </c>
      <c r="O24" t="n">
        <v>0</v>
      </c>
      <c r="R24" s="92" t="n"/>
      <c r="T24" t="n">
        <v>0</v>
      </c>
      <c r="Y24" s="98" t="n">
        <v>0</v>
      </c>
      <c r="Z24" t="n">
        <v>0</v>
      </c>
      <c r="AA24" t="n">
        <v>0</v>
      </c>
      <c r="AC24" t="n">
        <v>0</v>
      </c>
      <c r="AD24" t="n">
        <v>0</v>
      </c>
      <c r="AE24" t="n">
        <v>0</v>
      </c>
      <c r="AF24" t="n">
        <v>0</v>
      </c>
      <c r="AM24" t="n">
        <v>0</v>
      </c>
      <c r="AN24" t="n">
        <v>0</v>
      </c>
      <c r="AO24" t="n">
        <v>0</v>
      </c>
      <c r="AP24" t="n">
        <v>0</v>
      </c>
      <c r="AR24" t="n">
        <v>0</v>
      </c>
      <c r="AT24" t="n">
        <v>0</v>
      </c>
      <c r="AU24" t="n">
        <v>0</v>
      </c>
      <c r="AV24" t="n">
        <v>0</v>
      </c>
      <c r="AW24" t="n">
        <v>0</v>
      </c>
      <c r="AY24" t="n">
        <v>0</v>
      </c>
      <c r="AZ24" t="n">
        <v>0</v>
      </c>
      <c r="BA24" t="n">
        <v>0</v>
      </c>
      <c r="BB24" t="n">
        <v>0</v>
      </c>
      <c r="BC24" s="60" t="inlineStr">
        <is>
          <t xml:space="preserve"> </t>
        </is>
      </c>
      <c r="BM24" t="n">
        <v>0</v>
      </c>
      <c r="BT24" t="n">
        <v>0</v>
      </c>
      <c r="BU24" t="n">
        <v>0</v>
      </c>
      <c r="BZ24" s="98" t="n">
        <v>20</v>
      </c>
      <c r="CA24" t="n">
        <v>3</v>
      </c>
      <c r="CB24" t="n">
        <v>23</v>
      </c>
      <c r="CC24" t="n">
        <v>0</v>
      </c>
      <c r="CD24" t="n">
        <v>0</v>
      </c>
      <c r="CE24" t="n">
        <v>0</v>
      </c>
      <c r="CF24" t="n">
        <v>2</v>
      </c>
      <c r="CG24" t="n">
        <v>269</v>
      </c>
      <c r="CH24" t="n">
        <v>25</v>
      </c>
      <c r="CI24" t="n">
        <v>269</v>
      </c>
      <c r="CJ24" s="7" t="n">
        <v>294</v>
      </c>
    </row>
    <row r="25">
      <c r="A25" t="inlineStr">
        <is>
          <t>Engesser M.</t>
        </is>
      </c>
      <c r="B25" t="inlineStr">
        <is>
          <t>M</t>
        </is>
      </c>
      <c r="C25" t="n">
        <v>167</v>
      </c>
      <c r="Y25" s="98" t="inlineStr">
        <is>
          <t xml:space="preserve"> </t>
        </is>
      </c>
      <c r="BC25" s="60" t="inlineStr">
        <is>
          <t xml:space="preserve"> </t>
        </is>
      </c>
      <c r="BZ25" s="98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167</v>
      </c>
      <c r="CH25" t="n">
        <v>0</v>
      </c>
      <c r="CI25" t="n">
        <v>167</v>
      </c>
      <c r="CJ25" s="7" t="n">
        <v>167</v>
      </c>
    </row>
    <row r="26">
      <c r="A26" t="inlineStr">
        <is>
          <t>Ettwein Kevin</t>
        </is>
      </c>
      <c r="B26" t="inlineStr">
        <is>
          <t>L</t>
        </is>
      </c>
      <c r="C26" t="n">
        <v>8</v>
      </c>
      <c r="Y26" s="98" t="inlineStr">
        <is>
          <t xml:space="preserve"> </t>
        </is>
      </c>
      <c r="BC26" s="60" t="inlineStr">
        <is>
          <t xml:space="preserve"> </t>
        </is>
      </c>
      <c r="BZ26" s="98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8</v>
      </c>
      <c r="CH26" t="n">
        <v>0</v>
      </c>
      <c r="CI26" t="n">
        <v>8</v>
      </c>
      <c r="CJ26" s="7" t="n">
        <v>8</v>
      </c>
    </row>
    <row r="27">
      <c r="A27" t="inlineStr">
        <is>
          <t>Ettwein Dennis</t>
        </is>
      </c>
      <c r="B27" t="inlineStr">
        <is>
          <t>L</t>
        </is>
      </c>
      <c r="C27" t="n">
        <v>32</v>
      </c>
      <c r="Y27" s="98" t="inlineStr">
        <is>
          <t xml:space="preserve"> </t>
        </is>
      </c>
      <c r="BC27" s="60" t="inlineStr">
        <is>
          <t xml:space="preserve"> </t>
        </is>
      </c>
      <c r="BZ27" s="98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32</v>
      </c>
      <c r="CH27" t="n">
        <v>0</v>
      </c>
      <c r="CI27" t="n">
        <v>32</v>
      </c>
      <c r="CJ27" s="7" t="n">
        <v>32</v>
      </c>
    </row>
    <row r="28">
      <c r="A28" t="inlineStr">
        <is>
          <t>Flaig Elias</t>
        </is>
      </c>
      <c r="C28" t="n">
        <v>6</v>
      </c>
      <c r="E28" t="n">
        <v>0</v>
      </c>
      <c r="H28" t="n">
        <v>0</v>
      </c>
      <c r="J28" t="n">
        <v>0</v>
      </c>
      <c r="T28" t="n">
        <v>0</v>
      </c>
      <c r="Y28" s="98" t="n">
        <v>0</v>
      </c>
      <c r="AG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Z28" t="n">
        <v>0</v>
      </c>
      <c r="BA28" t="n">
        <v>0</v>
      </c>
      <c r="BC28" s="60" t="inlineStr">
        <is>
          <t xml:space="preserve"> </t>
        </is>
      </c>
      <c r="BD28" t="n">
        <v>0</v>
      </c>
      <c r="BE28" t="n">
        <v>0</v>
      </c>
      <c r="BF28" t="n">
        <v>0</v>
      </c>
      <c r="BH28" t="n">
        <v>0</v>
      </c>
      <c r="BJ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</v>
      </c>
      <c r="BR28" t="n">
        <v>1</v>
      </c>
      <c r="BS28" t="n">
        <v>0</v>
      </c>
      <c r="BT28" t="n">
        <v>0</v>
      </c>
      <c r="BU28" t="n">
        <v>1</v>
      </c>
      <c r="BV28" t="n">
        <v>0</v>
      </c>
      <c r="BW28" t="n">
        <v>1</v>
      </c>
      <c r="BY28" t="n">
        <v>0</v>
      </c>
      <c r="BZ28" s="98" t="n">
        <v>9</v>
      </c>
      <c r="CA28" t="n">
        <v>18</v>
      </c>
      <c r="CB28" t="n">
        <v>27</v>
      </c>
      <c r="CC28" t="n">
        <v>0</v>
      </c>
      <c r="CD28" t="n">
        <v>5</v>
      </c>
      <c r="CE28" t="n">
        <v>5</v>
      </c>
      <c r="CF28" t="n">
        <v>4</v>
      </c>
      <c r="CG28" t="n">
        <v>6</v>
      </c>
      <c r="CH28" t="n">
        <v>31</v>
      </c>
      <c r="CI28" t="n">
        <v>11</v>
      </c>
      <c r="CJ28" s="7" t="n">
        <v>37</v>
      </c>
    </row>
    <row r="29">
      <c r="A29" t="inlineStr">
        <is>
          <t>Flaig Maximilian</t>
        </is>
      </c>
      <c r="C29" t="n">
        <v>0</v>
      </c>
      <c r="Y29" s="98" t="inlineStr">
        <is>
          <t xml:space="preserve"> </t>
        </is>
      </c>
      <c r="AC29" t="n">
        <v>1</v>
      </c>
      <c r="AE29" t="n">
        <v>0</v>
      </c>
      <c r="AF29" t="n">
        <v>1</v>
      </c>
      <c r="AO29" t="n">
        <v>0</v>
      </c>
      <c r="AS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B29" t="n">
        <v>0</v>
      </c>
      <c r="BC29" s="60" t="inlineStr">
        <is>
          <t xml:space="preserve"> </t>
        </is>
      </c>
      <c r="BZ29" s="98" t="n">
        <v>12</v>
      </c>
      <c r="CA29" t="n">
        <v>0</v>
      </c>
      <c r="CB29" t="n">
        <v>12</v>
      </c>
      <c r="CC29" t="n">
        <v>2</v>
      </c>
      <c r="CD29" t="n">
        <v>0</v>
      </c>
      <c r="CE29" t="n">
        <v>2</v>
      </c>
      <c r="CF29" t="n">
        <v>0</v>
      </c>
      <c r="CG29" t="n">
        <v>0</v>
      </c>
      <c r="CH29" t="n">
        <v>12</v>
      </c>
      <c r="CI29" t="n">
        <v>2</v>
      </c>
      <c r="CJ29" s="7" t="n">
        <v>12</v>
      </c>
    </row>
    <row r="30">
      <c r="A30" t="inlineStr">
        <is>
          <t>Ganter F.</t>
        </is>
      </c>
      <c r="B30" t="inlineStr">
        <is>
          <t>M</t>
        </is>
      </c>
      <c r="C30" t="n">
        <v>401</v>
      </c>
      <c r="Y30" s="98" t="inlineStr">
        <is>
          <t xml:space="preserve"> </t>
        </is>
      </c>
      <c r="BC30" s="60" t="inlineStr">
        <is>
          <t xml:space="preserve"> </t>
        </is>
      </c>
      <c r="BZ30" s="98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401</v>
      </c>
      <c r="CH30" t="n">
        <v>0</v>
      </c>
      <c r="CI30" t="n">
        <v>401</v>
      </c>
      <c r="CJ30" s="7" t="n">
        <v>401</v>
      </c>
    </row>
    <row r="31">
      <c r="A31" t="inlineStr">
        <is>
          <t>Ginter Colin</t>
        </is>
      </c>
      <c r="C31" t="n">
        <v>9</v>
      </c>
      <c r="E31" t="n">
        <v>0</v>
      </c>
      <c r="F31" t="n">
        <v>1</v>
      </c>
      <c r="O31" t="n">
        <v>0</v>
      </c>
      <c r="T31" t="n">
        <v>0</v>
      </c>
      <c r="Y31" s="98" t="inlineStr">
        <is>
          <t xml:space="preserve"> </t>
        </is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1</v>
      </c>
      <c r="AX31" t="n">
        <v>0</v>
      </c>
      <c r="AY31" t="n">
        <v>0</v>
      </c>
      <c r="BA31" t="n">
        <v>0</v>
      </c>
      <c r="BB31" t="n">
        <v>0</v>
      </c>
      <c r="BC31" s="60" t="inlineStr">
        <is>
          <t xml:space="preserve"> </t>
        </is>
      </c>
      <c r="BD31" t="n">
        <v>1</v>
      </c>
      <c r="BE31" t="n">
        <v>0</v>
      </c>
      <c r="BI31" t="n">
        <v>2</v>
      </c>
      <c r="BM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Z31" s="98" t="n">
        <v>14</v>
      </c>
      <c r="CA31" t="n">
        <v>9</v>
      </c>
      <c r="CB31" t="n">
        <v>23</v>
      </c>
      <c r="CC31" t="n">
        <v>2</v>
      </c>
      <c r="CD31" t="n">
        <v>3</v>
      </c>
      <c r="CE31" t="n">
        <v>5</v>
      </c>
      <c r="CF31" t="n">
        <v>4</v>
      </c>
      <c r="CG31" t="n">
        <v>10</v>
      </c>
      <c r="CH31" t="n">
        <v>27</v>
      </c>
      <c r="CI31" t="n">
        <v>15</v>
      </c>
      <c r="CJ31" s="7" t="n">
        <v>36</v>
      </c>
    </row>
    <row r="32">
      <c r="A32" t="inlineStr">
        <is>
          <t>Glase Rico</t>
        </is>
      </c>
      <c r="B32" t="inlineStr">
        <is>
          <t>M</t>
        </is>
      </c>
      <c r="C32" t="n">
        <v>41</v>
      </c>
      <c r="Y32" s="98" t="inlineStr">
        <is>
          <t xml:space="preserve"> </t>
        </is>
      </c>
      <c r="BC32" s="60" t="inlineStr">
        <is>
          <t xml:space="preserve"> </t>
        </is>
      </c>
      <c r="BZ32" s="98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41</v>
      </c>
      <c r="CH32" t="n">
        <v>0</v>
      </c>
      <c r="CI32" t="n">
        <v>41</v>
      </c>
      <c r="CJ32" s="7" t="n">
        <v>41</v>
      </c>
    </row>
    <row r="33">
      <c r="A33" t="inlineStr">
        <is>
          <t>Günter Ralf</t>
        </is>
      </c>
      <c r="B33" t="inlineStr">
        <is>
          <t>L</t>
        </is>
      </c>
      <c r="C33" t="n">
        <v>227</v>
      </c>
      <c r="E33" t="n">
        <v>0</v>
      </c>
      <c r="F33" t="n">
        <v>0</v>
      </c>
      <c r="O33" t="n">
        <v>1</v>
      </c>
      <c r="R33" s="92" t="n"/>
      <c r="T33" t="n">
        <v>0</v>
      </c>
      <c r="Y33" s="98" t="n">
        <v>0</v>
      </c>
      <c r="Z33" t="n">
        <v>0</v>
      </c>
      <c r="AA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BC33" s="60" t="inlineStr">
        <is>
          <t xml:space="preserve"> </t>
        </is>
      </c>
      <c r="BO33" t="n">
        <v>0</v>
      </c>
      <c r="BS33" t="n">
        <v>0</v>
      </c>
      <c r="BZ33" s="98" t="n">
        <v>13</v>
      </c>
      <c r="CA33" t="n">
        <v>2</v>
      </c>
      <c r="CB33" t="n">
        <v>15</v>
      </c>
      <c r="CC33" t="n">
        <v>1</v>
      </c>
      <c r="CD33" t="n">
        <v>0</v>
      </c>
      <c r="CE33" t="n">
        <v>1</v>
      </c>
      <c r="CF33" t="n">
        <v>4</v>
      </c>
      <c r="CG33" t="n">
        <v>228</v>
      </c>
      <c r="CH33" t="n">
        <v>19</v>
      </c>
      <c r="CI33" t="n">
        <v>229</v>
      </c>
      <c r="CJ33" s="7" t="n">
        <v>246</v>
      </c>
    </row>
    <row r="34">
      <c r="A34" t="inlineStr">
        <is>
          <t>Haberstroh Benny</t>
        </is>
      </c>
      <c r="B34" t="inlineStr">
        <is>
          <t>M</t>
        </is>
      </c>
      <c r="C34" t="n">
        <v>19</v>
      </c>
      <c r="Y34" s="98" t="inlineStr">
        <is>
          <t xml:space="preserve"> </t>
        </is>
      </c>
      <c r="BC34" s="60" t="inlineStr">
        <is>
          <t xml:space="preserve"> </t>
        </is>
      </c>
      <c r="BZ34" s="98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19</v>
      </c>
      <c r="CH34" t="n">
        <v>0</v>
      </c>
      <c r="CI34" t="n">
        <v>19</v>
      </c>
      <c r="CJ34" s="7" t="n">
        <v>19</v>
      </c>
    </row>
    <row r="35">
      <c r="A35" t="inlineStr">
        <is>
          <t>Haberstroh Michael</t>
        </is>
      </c>
      <c r="B35" t="inlineStr">
        <is>
          <t>M</t>
        </is>
      </c>
      <c r="C35" t="n">
        <v>7</v>
      </c>
      <c r="Y35" s="98" t="inlineStr">
        <is>
          <t xml:space="preserve"> </t>
        </is>
      </c>
      <c r="BC35" s="60" t="inlineStr">
        <is>
          <t xml:space="preserve"> </t>
        </is>
      </c>
      <c r="BZ35" s="98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7</v>
      </c>
      <c r="CH35" t="n">
        <v>0</v>
      </c>
      <c r="CI35" t="n">
        <v>7</v>
      </c>
      <c r="CJ35" s="7" t="n">
        <v>7</v>
      </c>
    </row>
    <row r="36">
      <c r="A36" t="inlineStr">
        <is>
          <t>Haberstroh Raphael</t>
        </is>
      </c>
      <c r="B36" t="inlineStr">
        <is>
          <t>M</t>
        </is>
      </c>
      <c r="C36" t="n">
        <v>199</v>
      </c>
      <c r="E36" t="n">
        <v>0</v>
      </c>
      <c r="F36" t="n">
        <v>1</v>
      </c>
      <c r="H36" t="n">
        <v>0</v>
      </c>
      <c r="J36" t="n">
        <v>0</v>
      </c>
      <c r="T36" t="n">
        <v>0</v>
      </c>
      <c r="Y36" s="98" t="n">
        <v>0</v>
      </c>
      <c r="Z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R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0</v>
      </c>
      <c r="AZ36" t="n">
        <v>0</v>
      </c>
      <c r="BB36" t="n">
        <v>0</v>
      </c>
      <c r="BC36" s="60" t="inlineStr">
        <is>
          <t xml:space="preserve"> </t>
        </is>
      </c>
      <c r="BK36" t="n">
        <v>3</v>
      </c>
      <c r="BZ36" s="98" t="n">
        <v>24</v>
      </c>
      <c r="CA36" t="n">
        <v>1</v>
      </c>
      <c r="CB36" t="n">
        <v>25</v>
      </c>
      <c r="CC36" t="n">
        <v>1</v>
      </c>
      <c r="CD36" t="n">
        <v>3</v>
      </c>
      <c r="CE36" t="n">
        <v>4</v>
      </c>
      <c r="CF36" t="n">
        <v>5</v>
      </c>
      <c r="CG36" t="n">
        <v>200</v>
      </c>
      <c r="CH36" t="n">
        <v>30</v>
      </c>
      <c r="CI36" t="n">
        <v>204</v>
      </c>
      <c r="CJ36" s="7" t="n">
        <v>229</v>
      </c>
    </row>
    <row r="37">
      <c r="A37" s="92" t="inlineStr">
        <is>
          <t>Hauser Marcel</t>
        </is>
      </c>
      <c r="B37" s="92" t="inlineStr">
        <is>
          <t>L</t>
        </is>
      </c>
      <c r="C37" t="n">
        <v>46</v>
      </c>
      <c r="E37" t="n">
        <v>0</v>
      </c>
      <c r="F37" t="n">
        <v>0</v>
      </c>
      <c r="H37" t="n">
        <v>0</v>
      </c>
      <c r="Y37" s="98" t="inlineStr">
        <is>
          <t xml:space="preserve"> </t>
        </is>
      </c>
      <c r="AM37" t="n">
        <v>0</v>
      </c>
      <c r="BC37" s="60" t="inlineStr">
        <is>
          <t xml:space="preserve"> </t>
        </is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J37" t="n">
        <v>0</v>
      </c>
      <c r="BM37" t="n">
        <v>0</v>
      </c>
      <c r="BN37" t="n">
        <v>0</v>
      </c>
      <c r="BO37" t="n">
        <v>0</v>
      </c>
      <c r="BP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s="98" t="n">
        <v>1</v>
      </c>
      <c r="CA37" t="n">
        <v>18</v>
      </c>
      <c r="CB37" t="n">
        <v>19</v>
      </c>
      <c r="CC37" t="n">
        <v>0</v>
      </c>
      <c r="CD37" t="n">
        <v>0</v>
      </c>
      <c r="CE37" t="n">
        <v>0</v>
      </c>
      <c r="CF37" t="n">
        <v>3</v>
      </c>
      <c r="CG37" t="n">
        <v>46</v>
      </c>
      <c r="CH37" t="n">
        <v>22</v>
      </c>
      <c r="CI37" t="n">
        <v>46</v>
      </c>
      <c r="CJ37" s="7" t="n">
        <v>68</v>
      </c>
    </row>
    <row r="38">
      <c r="A38" t="inlineStr">
        <is>
          <t>Heilmann M.</t>
        </is>
      </c>
      <c r="B38" t="inlineStr">
        <is>
          <t>M</t>
        </is>
      </c>
      <c r="C38" t="n">
        <v>246</v>
      </c>
      <c r="Y38" s="98" t="inlineStr">
        <is>
          <t xml:space="preserve"> </t>
        </is>
      </c>
      <c r="BC38" s="60" t="inlineStr">
        <is>
          <t xml:space="preserve"> </t>
        </is>
      </c>
      <c r="BZ38" s="9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246</v>
      </c>
      <c r="CH38" t="n">
        <v>0</v>
      </c>
      <c r="CI38" t="n">
        <v>246</v>
      </c>
      <c r="CJ38" s="7" t="n">
        <v>246</v>
      </c>
    </row>
    <row r="39">
      <c r="A39" t="inlineStr">
        <is>
          <t>Hornikel A.</t>
        </is>
      </c>
      <c r="B39" t="inlineStr">
        <is>
          <t>M</t>
        </is>
      </c>
      <c r="C39" t="n">
        <v>339</v>
      </c>
      <c r="Y39" s="98" t="inlineStr">
        <is>
          <t xml:space="preserve"> </t>
        </is>
      </c>
      <c r="BC39" s="60" t="inlineStr">
        <is>
          <t xml:space="preserve"> </t>
        </is>
      </c>
      <c r="BZ39" s="98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339</v>
      </c>
      <c r="CH39" t="n">
        <v>0</v>
      </c>
      <c r="CI39" t="n">
        <v>339</v>
      </c>
      <c r="CJ39" s="7" t="n">
        <v>339</v>
      </c>
    </row>
    <row r="40">
      <c r="A40" t="inlineStr">
        <is>
          <t>Jäckle M.</t>
        </is>
      </c>
      <c r="B40" t="inlineStr">
        <is>
          <t>M</t>
        </is>
      </c>
      <c r="C40" t="n">
        <v>276</v>
      </c>
      <c r="Y40" s="98" t="inlineStr">
        <is>
          <t xml:space="preserve"> </t>
        </is>
      </c>
      <c r="BC40" s="60" t="inlineStr">
        <is>
          <t xml:space="preserve"> </t>
        </is>
      </c>
      <c r="BZ40" s="98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276</v>
      </c>
      <c r="CH40" t="n">
        <v>0</v>
      </c>
      <c r="CI40" t="n">
        <v>276</v>
      </c>
      <c r="CJ40" s="7" t="n">
        <v>276</v>
      </c>
    </row>
    <row r="41">
      <c r="A41" t="inlineStr">
        <is>
          <t>Jaki S.</t>
        </is>
      </c>
      <c r="B41" t="inlineStr">
        <is>
          <t>M</t>
        </is>
      </c>
      <c r="C41" t="n">
        <v>504</v>
      </c>
      <c r="Y41" s="98" t="inlineStr">
        <is>
          <t xml:space="preserve"> </t>
        </is>
      </c>
      <c r="Z41" t="n">
        <v>0</v>
      </c>
      <c r="BC41" s="60" t="inlineStr">
        <is>
          <t xml:space="preserve"> </t>
        </is>
      </c>
      <c r="BD41" t="n">
        <v>3</v>
      </c>
      <c r="BG41" t="n">
        <v>1</v>
      </c>
      <c r="BH41" t="n">
        <v>3</v>
      </c>
      <c r="BJ41" t="n">
        <v>2</v>
      </c>
      <c r="BL41" t="n">
        <v>0</v>
      </c>
      <c r="BM41" t="n">
        <v>1</v>
      </c>
      <c r="BO41" t="n">
        <v>1</v>
      </c>
      <c r="BV41" t="n">
        <v>4</v>
      </c>
      <c r="BX41" t="n">
        <v>5</v>
      </c>
      <c r="BZ41" s="98" t="n">
        <v>1</v>
      </c>
      <c r="CA41" t="n">
        <v>9</v>
      </c>
      <c r="CB41" t="n">
        <v>10</v>
      </c>
      <c r="CC41" t="n">
        <v>0</v>
      </c>
      <c r="CD41" t="n">
        <v>20</v>
      </c>
      <c r="CE41" t="n">
        <v>20</v>
      </c>
      <c r="CF41" t="n">
        <v>0</v>
      </c>
      <c r="CG41" t="n">
        <v>504</v>
      </c>
      <c r="CH41" t="n">
        <v>10</v>
      </c>
      <c r="CI41" t="n">
        <v>524</v>
      </c>
      <c r="CJ41" s="7" t="n">
        <v>514</v>
      </c>
    </row>
    <row r="42">
      <c r="A42" t="inlineStr">
        <is>
          <t>Jauch Jo.</t>
        </is>
      </c>
      <c r="B42" t="inlineStr">
        <is>
          <t>M</t>
        </is>
      </c>
      <c r="C42" t="n">
        <v>357</v>
      </c>
      <c r="P42" t="n">
        <v>0</v>
      </c>
      <c r="V42" t="n">
        <v>0</v>
      </c>
      <c r="Y42" s="98" t="inlineStr">
        <is>
          <t xml:space="preserve"> </t>
        </is>
      </c>
      <c r="BC42" s="60" t="inlineStr">
        <is>
          <t xml:space="preserve"> </t>
        </is>
      </c>
      <c r="BI42" t="n">
        <v>0</v>
      </c>
      <c r="BK42" t="n">
        <v>0</v>
      </c>
      <c r="BQ42" t="n">
        <v>0</v>
      </c>
      <c r="BZ42" s="98" t="n">
        <v>0</v>
      </c>
      <c r="CA42" t="n">
        <v>3</v>
      </c>
      <c r="CB42" t="n">
        <v>3</v>
      </c>
      <c r="CC42" t="n">
        <v>0</v>
      </c>
      <c r="CD42" t="n">
        <v>0</v>
      </c>
      <c r="CE42" t="n">
        <v>0</v>
      </c>
      <c r="CF42" t="n">
        <v>2</v>
      </c>
      <c r="CG42" t="n">
        <v>357</v>
      </c>
      <c r="CH42" t="n">
        <v>5</v>
      </c>
      <c r="CI42" t="n">
        <v>357</v>
      </c>
      <c r="CJ42" s="7" t="n">
        <v>362</v>
      </c>
    </row>
    <row r="43">
      <c r="A43" t="inlineStr">
        <is>
          <t>Jauch Jürgen</t>
        </is>
      </c>
      <c r="B43" t="inlineStr">
        <is>
          <t>M</t>
        </is>
      </c>
      <c r="C43" t="n">
        <v>216</v>
      </c>
      <c r="Y43" s="98" t="inlineStr">
        <is>
          <t xml:space="preserve"> </t>
        </is>
      </c>
      <c r="BC43" s="60" t="inlineStr">
        <is>
          <t xml:space="preserve"> </t>
        </is>
      </c>
      <c r="BZ43" s="98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216</v>
      </c>
      <c r="CH43" t="n">
        <v>0</v>
      </c>
      <c r="CI43" t="n">
        <v>216</v>
      </c>
      <c r="CJ43" s="7" t="n">
        <v>216</v>
      </c>
    </row>
    <row r="44">
      <c r="A44" t="inlineStr">
        <is>
          <t>Kimmich Simeon</t>
        </is>
      </c>
      <c r="C44" t="n">
        <v>35</v>
      </c>
      <c r="Y44" s="98" t="inlineStr">
        <is>
          <t xml:space="preserve"> </t>
        </is>
      </c>
      <c r="BB44" t="n">
        <v>0</v>
      </c>
      <c r="BC44" s="60" t="inlineStr">
        <is>
          <t xml:space="preserve"> </t>
        </is>
      </c>
      <c r="BD44" t="n">
        <v>1</v>
      </c>
      <c r="BE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O44" t="n">
        <v>0</v>
      </c>
      <c r="BP44" t="n">
        <v>0</v>
      </c>
      <c r="BQ44" t="n">
        <v>1</v>
      </c>
      <c r="BS44" t="n">
        <v>0</v>
      </c>
      <c r="BU44" t="n">
        <v>0</v>
      </c>
      <c r="BZ44" s="98" t="n">
        <v>1</v>
      </c>
      <c r="CA44" t="n">
        <v>12</v>
      </c>
      <c r="CB44" t="n">
        <v>13</v>
      </c>
      <c r="CC44" t="n">
        <v>0</v>
      </c>
      <c r="CD44" t="n">
        <v>2</v>
      </c>
      <c r="CE44" t="n">
        <v>2</v>
      </c>
      <c r="CF44" t="n">
        <v>0</v>
      </c>
      <c r="CG44" t="n">
        <v>35</v>
      </c>
      <c r="CH44" t="n">
        <v>13</v>
      </c>
      <c r="CI44" t="n">
        <v>37</v>
      </c>
      <c r="CJ44" s="7" t="n">
        <v>48</v>
      </c>
    </row>
    <row r="45">
      <c r="A45" t="inlineStr">
        <is>
          <t>Klausmann M.</t>
        </is>
      </c>
      <c r="B45" t="inlineStr">
        <is>
          <t>M</t>
        </is>
      </c>
      <c r="C45" t="n">
        <v>260</v>
      </c>
      <c r="O45" t="n">
        <v>0</v>
      </c>
      <c r="Y45" s="98" t="n">
        <v>0</v>
      </c>
      <c r="BC45" s="60" t="inlineStr">
        <is>
          <t xml:space="preserve"> </t>
        </is>
      </c>
      <c r="BD45" t="n">
        <v>1</v>
      </c>
      <c r="BH45" t="n">
        <v>0</v>
      </c>
      <c r="BZ45" s="98" t="n">
        <v>1</v>
      </c>
      <c r="CA45" t="n">
        <v>2</v>
      </c>
      <c r="CB45" t="n">
        <v>3</v>
      </c>
      <c r="CC45" t="n">
        <v>0</v>
      </c>
      <c r="CD45" t="n">
        <v>1</v>
      </c>
      <c r="CE45" t="n">
        <v>1</v>
      </c>
      <c r="CF45" t="n">
        <v>1</v>
      </c>
      <c r="CG45" t="n">
        <v>260</v>
      </c>
      <c r="CH45" t="n">
        <v>4</v>
      </c>
      <c r="CI45" t="n">
        <v>261</v>
      </c>
      <c r="CJ45" s="7" t="n">
        <v>264</v>
      </c>
    </row>
    <row r="46">
      <c r="A46" s="92" t="inlineStr">
        <is>
          <t>Kuner Andreas</t>
        </is>
      </c>
      <c r="C46" t="n">
        <v>0</v>
      </c>
      <c r="Y46" s="98" t="inlineStr">
        <is>
          <t xml:space="preserve"> </t>
        </is>
      </c>
      <c r="AM46" t="n">
        <v>0</v>
      </c>
      <c r="AO46" t="n">
        <v>0</v>
      </c>
      <c r="AR46" t="n">
        <v>0</v>
      </c>
      <c r="AS46" t="n">
        <v>0</v>
      </c>
      <c r="AV46" t="n">
        <v>0</v>
      </c>
      <c r="AW46" t="n">
        <v>0</v>
      </c>
      <c r="AZ46" t="n">
        <v>0</v>
      </c>
      <c r="BA46" t="n">
        <v>0</v>
      </c>
      <c r="BB46" t="n">
        <v>0</v>
      </c>
      <c r="BC46" s="60" t="inlineStr">
        <is>
          <t xml:space="preserve"> </t>
        </is>
      </c>
      <c r="BZ46" s="98" t="n">
        <v>9</v>
      </c>
      <c r="CA46" t="n">
        <v>0</v>
      </c>
      <c r="CB46" t="n">
        <v>9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9</v>
      </c>
      <c r="CI46" t="n">
        <v>0</v>
      </c>
      <c r="CJ46" s="7" t="n">
        <v>9</v>
      </c>
    </row>
    <row r="47">
      <c r="A47" t="inlineStr">
        <is>
          <t>Kuner Matthias</t>
        </is>
      </c>
      <c r="C47" t="n">
        <v>72</v>
      </c>
      <c r="E47" t="n">
        <v>0</v>
      </c>
      <c r="F47" t="n">
        <v>0</v>
      </c>
      <c r="H47" t="n">
        <v>0</v>
      </c>
      <c r="J47" t="n">
        <v>0</v>
      </c>
      <c r="O47" t="n">
        <v>0</v>
      </c>
      <c r="T47" t="n">
        <v>1</v>
      </c>
      <c r="Y47" s="98" t="inlineStr">
        <is>
          <t xml:space="preserve"> </t>
        </is>
      </c>
      <c r="Z47" t="n">
        <v>0</v>
      </c>
      <c r="AA47" t="n">
        <v>0</v>
      </c>
      <c r="AC47" t="n">
        <v>0</v>
      </c>
      <c r="AD47" t="n">
        <v>0</v>
      </c>
      <c r="AE47" t="n">
        <v>0</v>
      </c>
      <c r="AF47" t="n">
        <v>0</v>
      </c>
      <c r="AH47" t="n">
        <v>0</v>
      </c>
      <c r="AI47" t="n">
        <v>0</v>
      </c>
      <c r="AK47" t="n">
        <v>1</v>
      </c>
      <c r="AL47" t="n">
        <v>0</v>
      </c>
      <c r="AN47" t="n">
        <v>0</v>
      </c>
      <c r="AO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</v>
      </c>
      <c r="AX47" t="n">
        <v>0</v>
      </c>
      <c r="AZ47" t="n">
        <v>0</v>
      </c>
      <c r="BB47" t="n">
        <v>0</v>
      </c>
      <c r="BC47" s="60" t="inlineStr">
        <is>
          <t xml:space="preserve"> </t>
        </is>
      </c>
      <c r="BZ47" s="98" t="n">
        <v>21</v>
      </c>
      <c r="CA47" t="n">
        <v>0</v>
      </c>
      <c r="CB47" t="n">
        <v>21</v>
      </c>
      <c r="CC47" t="n">
        <v>2</v>
      </c>
      <c r="CD47" t="n">
        <v>0</v>
      </c>
      <c r="CE47" t="n">
        <v>2</v>
      </c>
      <c r="CF47" t="n">
        <v>6</v>
      </c>
      <c r="CG47" t="n">
        <v>73</v>
      </c>
      <c r="CH47" t="n">
        <v>27</v>
      </c>
      <c r="CI47" t="n">
        <v>75</v>
      </c>
      <c r="CJ47" s="7" t="n">
        <v>99</v>
      </c>
    </row>
    <row r="48">
      <c r="A48" t="inlineStr">
        <is>
          <t>Klein Daniel</t>
        </is>
      </c>
      <c r="B48" t="inlineStr">
        <is>
          <t>M</t>
        </is>
      </c>
      <c r="C48" t="n">
        <v>226</v>
      </c>
      <c r="E48" t="n">
        <v>0</v>
      </c>
      <c r="J48" t="n">
        <v>0</v>
      </c>
      <c r="O48" t="n">
        <v>0</v>
      </c>
      <c r="T48" t="n">
        <v>0</v>
      </c>
      <c r="Y48" s="98" t="n">
        <v>0</v>
      </c>
      <c r="Z48" t="n">
        <v>0</v>
      </c>
      <c r="AA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N48" t="n">
        <v>0</v>
      </c>
      <c r="AO48" t="n">
        <v>0</v>
      </c>
      <c r="AP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s="60" t="inlineStr">
        <is>
          <t xml:space="preserve"> </t>
        </is>
      </c>
      <c r="BZ48" s="98" t="n">
        <v>27</v>
      </c>
      <c r="CA48" t="n">
        <v>0</v>
      </c>
      <c r="CB48" t="n">
        <v>27</v>
      </c>
      <c r="CC48" t="n">
        <v>0</v>
      </c>
      <c r="CD48" t="n">
        <v>0</v>
      </c>
      <c r="CE48" t="n">
        <v>0</v>
      </c>
      <c r="CF48" t="n">
        <v>4</v>
      </c>
      <c r="CG48" t="n">
        <v>226</v>
      </c>
      <c r="CH48" t="n">
        <v>31</v>
      </c>
      <c r="CI48" t="n">
        <v>226</v>
      </c>
      <c r="CJ48" s="7" t="n">
        <v>257</v>
      </c>
    </row>
    <row r="49">
      <c r="A49" t="inlineStr">
        <is>
          <t>Letzel Marvin</t>
        </is>
      </c>
      <c r="C49" t="n">
        <v>3</v>
      </c>
      <c r="P49" t="n">
        <v>0</v>
      </c>
      <c r="Y49" s="98" t="inlineStr">
        <is>
          <t xml:space="preserve"> </t>
        </is>
      </c>
      <c r="BC49" s="60" t="inlineStr">
        <is>
          <t xml:space="preserve"> </t>
        </is>
      </c>
      <c r="BQ49" t="n">
        <v>0</v>
      </c>
      <c r="BW49" t="n">
        <v>0</v>
      </c>
      <c r="BX49" t="n">
        <v>0</v>
      </c>
      <c r="BZ49" s="98" t="n">
        <v>0</v>
      </c>
      <c r="CA49" t="n">
        <v>3</v>
      </c>
      <c r="CB49" t="n">
        <v>3</v>
      </c>
      <c r="CC49" t="n">
        <v>0</v>
      </c>
      <c r="CD49" t="n">
        <v>0</v>
      </c>
      <c r="CE49" t="n">
        <v>0</v>
      </c>
      <c r="CF49" t="n">
        <v>1</v>
      </c>
      <c r="CG49" t="n">
        <v>3</v>
      </c>
      <c r="CH49" t="n">
        <v>4</v>
      </c>
      <c r="CI49" t="n">
        <v>3</v>
      </c>
      <c r="CJ49" s="7" t="n">
        <v>7</v>
      </c>
    </row>
    <row r="50">
      <c r="A50" t="inlineStr">
        <is>
          <t>Linder Andreas</t>
        </is>
      </c>
      <c r="B50" t="inlineStr">
        <is>
          <t>L</t>
        </is>
      </c>
      <c r="C50" t="n">
        <v>96</v>
      </c>
      <c r="O50" s="92" t="n">
        <v>0</v>
      </c>
      <c r="P50" t="n">
        <v>0</v>
      </c>
      <c r="Y50" s="98" t="inlineStr">
        <is>
          <t xml:space="preserve"> </t>
        </is>
      </c>
      <c r="BC50" s="60" t="inlineStr">
        <is>
          <t xml:space="preserve"> </t>
        </is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Q50" t="n">
        <v>0</v>
      </c>
      <c r="BR50" t="n">
        <v>0</v>
      </c>
      <c r="BS50" t="n">
        <v>0</v>
      </c>
      <c r="BU50" t="n">
        <v>0</v>
      </c>
      <c r="BV50" t="n">
        <v>0</v>
      </c>
      <c r="BX50" t="n">
        <v>0</v>
      </c>
      <c r="BZ50" s="98" t="n">
        <v>0</v>
      </c>
      <c r="CA50" t="n">
        <v>16</v>
      </c>
      <c r="CB50" t="n">
        <v>16</v>
      </c>
      <c r="CC50" t="n">
        <v>0</v>
      </c>
      <c r="CD50" t="n">
        <v>0</v>
      </c>
      <c r="CE50" t="n">
        <v>0</v>
      </c>
      <c r="CF50" t="n">
        <v>2</v>
      </c>
      <c r="CG50" t="n">
        <v>96</v>
      </c>
      <c r="CH50" t="n">
        <v>18</v>
      </c>
      <c r="CI50" t="n">
        <v>96</v>
      </c>
      <c r="CJ50" s="7" t="n">
        <v>114</v>
      </c>
    </row>
    <row r="51">
      <c r="A51" t="inlineStr">
        <is>
          <t>Lobert Marius</t>
        </is>
      </c>
      <c r="C51" t="n">
        <v>16</v>
      </c>
      <c r="P51" t="n">
        <v>0</v>
      </c>
      <c r="V51" t="n">
        <v>0</v>
      </c>
      <c r="Y51" s="98" t="inlineStr">
        <is>
          <t xml:space="preserve"> </t>
        </is>
      </c>
      <c r="BC51" s="60" t="inlineStr">
        <is>
          <t xml:space="preserve"> </t>
        </is>
      </c>
      <c r="BZ51" s="98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2</v>
      </c>
      <c r="CG51" t="n">
        <v>16</v>
      </c>
      <c r="CH51" t="n">
        <v>2</v>
      </c>
      <c r="CI51" t="n">
        <v>16</v>
      </c>
      <c r="CJ51" s="7" t="n">
        <v>18</v>
      </c>
    </row>
    <row r="52">
      <c r="A52" t="inlineStr">
        <is>
          <t>Löffler Marius</t>
        </is>
      </c>
      <c r="B52" t="inlineStr">
        <is>
          <t>L</t>
        </is>
      </c>
      <c r="C52" t="n">
        <v>182</v>
      </c>
      <c r="E52" t="n">
        <v>0</v>
      </c>
      <c r="F52" t="n">
        <v>0</v>
      </c>
      <c r="J52" t="n">
        <v>0</v>
      </c>
      <c r="T52" t="n">
        <v>1</v>
      </c>
      <c r="Y52" s="98" t="inlineStr">
        <is>
          <t xml:space="preserve"> </t>
        </is>
      </c>
      <c r="Z52" t="n">
        <v>0</v>
      </c>
      <c r="AA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O52" t="n">
        <v>0</v>
      </c>
      <c r="AP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s="60" t="inlineStr">
        <is>
          <t xml:space="preserve"> </t>
        </is>
      </c>
      <c r="BZ52" s="98" t="n">
        <v>26</v>
      </c>
      <c r="CA52" t="n">
        <v>0</v>
      </c>
      <c r="CB52" t="n">
        <v>26</v>
      </c>
      <c r="CC52" t="n">
        <v>2</v>
      </c>
      <c r="CD52" t="n">
        <v>0</v>
      </c>
      <c r="CE52" t="n">
        <v>2</v>
      </c>
      <c r="CF52" t="n">
        <v>4</v>
      </c>
      <c r="CG52" t="n">
        <v>183</v>
      </c>
      <c r="CH52" t="n">
        <v>30</v>
      </c>
      <c r="CI52" t="n">
        <v>185</v>
      </c>
      <c r="CJ52" s="7" t="n">
        <v>212</v>
      </c>
    </row>
    <row r="53">
      <c r="A53" t="inlineStr">
        <is>
          <t>Marte Marvin</t>
        </is>
      </c>
      <c r="B53" t="inlineStr">
        <is>
          <t>M</t>
        </is>
      </c>
      <c r="C53" t="n">
        <v>197</v>
      </c>
      <c r="J53" t="n">
        <v>0</v>
      </c>
      <c r="Y53" s="98" t="inlineStr">
        <is>
          <t xml:space="preserve"> </t>
        </is>
      </c>
      <c r="AM53" t="n">
        <v>0</v>
      </c>
      <c r="AN53" t="n">
        <v>1</v>
      </c>
      <c r="AO53" t="n">
        <v>0</v>
      </c>
      <c r="AP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BC53" s="60" t="inlineStr">
        <is>
          <t xml:space="preserve"> </t>
        </is>
      </c>
      <c r="BZ53" s="98" t="n">
        <v>12</v>
      </c>
      <c r="CA53" t="n">
        <v>0</v>
      </c>
      <c r="CB53" t="n">
        <v>12</v>
      </c>
      <c r="CC53" t="n">
        <v>1</v>
      </c>
      <c r="CD53" t="n">
        <v>0</v>
      </c>
      <c r="CE53" t="n">
        <v>1</v>
      </c>
      <c r="CF53" t="n">
        <v>1</v>
      </c>
      <c r="CG53" t="n">
        <v>197</v>
      </c>
      <c r="CH53" t="n">
        <v>13</v>
      </c>
      <c r="CI53" t="n">
        <v>198</v>
      </c>
      <c r="CJ53" s="7" t="n">
        <v>210</v>
      </c>
    </row>
    <row r="54">
      <c r="A54" t="inlineStr">
        <is>
          <t>Moosmann J.</t>
        </is>
      </c>
      <c r="B54" t="inlineStr">
        <is>
          <t>L</t>
        </is>
      </c>
      <c r="C54" t="n">
        <v>83</v>
      </c>
      <c r="Y54" s="98" t="inlineStr">
        <is>
          <t xml:space="preserve"> </t>
        </is>
      </c>
      <c r="BC54" s="60" t="inlineStr">
        <is>
          <t xml:space="preserve"> </t>
        </is>
      </c>
      <c r="BZ54" s="98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83</v>
      </c>
      <c r="CH54" t="n">
        <v>0</v>
      </c>
      <c r="CI54" t="n">
        <v>83</v>
      </c>
      <c r="CJ54" s="7" t="n">
        <v>83</v>
      </c>
    </row>
    <row r="55">
      <c r="A55" t="inlineStr">
        <is>
          <t>Moosmann Kay</t>
        </is>
      </c>
      <c r="B55" t="inlineStr">
        <is>
          <t>L</t>
        </is>
      </c>
      <c r="C55" t="n">
        <v>5</v>
      </c>
      <c r="S55" s="92" t="n"/>
      <c r="Y55" s="98" t="inlineStr">
        <is>
          <t xml:space="preserve"> </t>
        </is>
      </c>
      <c r="BC55" s="60" t="inlineStr">
        <is>
          <t xml:space="preserve"> </t>
        </is>
      </c>
      <c r="BZ55" s="98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5</v>
      </c>
      <c r="CH55" t="n">
        <v>0</v>
      </c>
      <c r="CI55" t="n">
        <v>5</v>
      </c>
      <c r="CJ55" s="7" t="n">
        <v>5</v>
      </c>
    </row>
    <row r="56">
      <c r="A56" t="inlineStr">
        <is>
          <t>Moosmann M.</t>
        </is>
      </c>
      <c r="B56" t="inlineStr">
        <is>
          <t>M</t>
        </is>
      </c>
      <c r="C56" t="n">
        <v>355</v>
      </c>
      <c r="Y56" s="98" t="inlineStr">
        <is>
          <t xml:space="preserve"> </t>
        </is>
      </c>
      <c r="BC56" s="60" t="inlineStr">
        <is>
          <t xml:space="preserve"> </t>
        </is>
      </c>
      <c r="BZ56" s="98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355</v>
      </c>
      <c r="CH56" t="n">
        <v>0</v>
      </c>
      <c r="CI56" t="n">
        <v>355</v>
      </c>
      <c r="CJ56" s="7" t="n">
        <v>355</v>
      </c>
    </row>
    <row r="57">
      <c r="A57" t="inlineStr">
        <is>
          <t>Müller Andre</t>
        </is>
      </c>
      <c r="B57" t="inlineStr">
        <is>
          <t>M</t>
        </is>
      </c>
      <c r="C57" t="n">
        <v>81</v>
      </c>
      <c r="Y57" s="98" t="inlineStr">
        <is>
          <t xml:space="preserve"> </t>
        </is>
      </c>
      <c r="BC57" s="60" t="inlineStr">
        <is>
          <t xml:space="preserve"> </t>
        </is>
      </c>
      <c r="BE57" t="n">
        <v>0</v>
      </c>
      <c r="BF57" t="n">
        <v>0</v>
      </c>
      <c r="BG57" t="n">
        <v>0</v>
      </c>
      <c r="BH57" t="n">
        <v>1</v>
      </c>
      <c r="BI57" t="n">
        <v>0</v>
      </c>
      <c r="BJ57" t="n">
        <v>0</v>
      </c>
      <c r="BK57" t="n">
        <v>1</v>
      </c>
      <c r="BL57" t="n">
        <v>0</v>
      </c>
      <c r="BM57" t="n">
        <v>0</v>
      </c>
      <c r="BN57" t="n">
        <v>0</v>
      </c>
      <c r="BP57" t="n">
        <v>0</v>
      </c>
      <c r="BQ57" t="n">
        <v>0</v>
      </c>
      <c r="BU57" t="n">
        <v>0</v>
      </c>
      <c r="BW57" t="n">
        <v>0</v>
      </c>
      <c r="BX57" t="n">
        <v>0</v>
      </c>
      <c r="BY57" t="n">
        <v>0</v>
      </c>
      <c r="BZ57" s="98" t="n">
        <v>0</v>
      </c>
      <c r="CA57" t="n">
        <v>16</v>
      </c>
      <c r="CB57" t="n">
        <v>16</v>
      </c>
      <c r="CC57" t="n">
        <v>0</v>
      </c>
      <c r="CD57" t="n">
        <v>2</v>
      </c>
      <c r="CE57" t="n">
        <v>2</v>
      </c>
      <c r="CF57" t="n">
        <v>0</v>
      </c>
      <c r="CG57" t="n">
        <v>81</v>
      </c>
      <c r="CH57" t="n">
        <v>16</v>
      </c>
      <c r="CI57" t="n">
        <v>83</v>
      </c>
      <c r="CJ57" s="7" t="n">
        <v>97</v>
      </c>
    </row>
    <row r="58">
      <c r="A58" s="92" t="inlineStr">
        <is>
          <t>Müller Felix</t>
        </is>
      </c>
      <c r="B58" s="92" t="inlineStr">
        <is>
          <t>L</t>
        </is>
      </c>
      <c r="C58" t="n">
        <v>70</v>
      </c>
      <c r="E58" t="n">
        <v>0</v>
      </c>
      <c r="F58" t="n">
        <v>0</v>
      </c>
      <c r="H58" t="n">
        <v>0</v>
      </c>
      <c r="J58" t="n">
        <v>0</v>
      </c>
      <c r="O58" t="n">
        <v>0</v>
      </c>
      <c r="P58" t="n">
        <v>0</v>
      </c>
      <c r="T58" t="n">
        <v>0</v>
      </c>
      <c r="Y58" s="98" t="inlineStr">
        <is>
          <t xml:space="preserve"> </t>
        </is>
      </c>
      <c r="Z58" t="n">
        <v>0</v>
      </c>
      <c r="AA58" t="n">
        <v>0</v>
      </c>
      <c r="AD58" t="n">
        <v>0</v>
      </c>
      <c r="AG58" t="n">
        <v>0</v>
      </c>
      <c r="AJ58" t="n">
        <v>0</v>
      </c>
      <c r="AK58" t="n">
        <v>0</v>
      </c>
      <c r="AL58" t="n">
        <v>0</v>
      </c>
      <c r="BA58" t="n">
        <v>0</v>
      </c>
      <c r="BB58" t="n">
        <v>0</v>
      </c>
      <c r="BC58" s="60" t="inlineStr">
        <is>
          <t xml:space="preserve"> </t>
        </is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</v>
      </c>
      <c r="BK58" t="n">
        <v>2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1</v>
      </c>
      <c r="BR58" t="n">
        <v>0</v>
      </c>
      <c r="BS58" t="n">
        <v>2</v>
      </c>
      <c r="BT58" t="n">
        <v>1</v>
      </c>
      <c r="BU58" t="n">
        <v>0</v>
      </c>
      <c r="BV58" t="n">
        <v>0</v>
      </c>
      <c r="BW58" t="n">
        <v>0</v>
      </c>
      <c r="BZ58" s="98" t="n">
        <v>9</v>
      </c>
      <c r="CA58" t="n">
        <v>20</v>
      </c>
      <c r="CB58" t="n">
        <v>29</v>
      </c>
      <c r="CC58" t="n">
        <v>0</v>
      </c>
      <c r="CD58" t="n">
        <v>7</v>
      </c>
      <c r="CE58" t="n">
        <v>7</v>
      </c>
      <c r="CF58" t="n">
        <v>7</v>
      </c>
      <c r="CG58" t="n">
        <v>70</v>
      </c>
      <c r="CH58" t="n">
        <v>36</v>
      </c>
      <c r="CI58" t="n">
        <v>77</v>
      </c>
      <c r="CJ58" s="7" t="n">
        <v>106</v>
      </c>
    </row>
    <row r="59">
      <c r="A59" t="inlineStr">
        <is>
          <t>Müller Thorsten</t>
        </is>
      </c>
      <c r="B59" t="inlineStr">
        <is>
          <t>M</t>
        </is>
      </c>
      <c r="C59" t="n">
        <v>108</v>
      </c>
      <c r="E59" t="n">
        <v>0</v>
      </c>
      <c r="F59" t="n">
        <v>0</v>
      </c>
      <c r="H59" t="n">
        <v>0</v>
      </c>
      <c r="T59" t="n">
        <v>0</v>
      </c>
      <c r="Y59" s="98" t="n">
        <v>0</v>
      </c>
      <c r="Z59" t="n">
        <v>0</v>
      </c>
      <c r="AA59" t="n">
        <v>0</v>
      </c>
      <c r="AC59" t="n">
        <v>0</v>
      </c>
      <c r="AG59" t="n">
        <v>0</v>
      </c>
      <c r="AL59" t="n">
        <v>0</v>
      </c>
      <c r="AN59" t="n">
        <v>0</v>
      </c>
      <c r="AS59" t="n">
        <v>0</v>
      </c>
      <c r="BC59" s="60" t="inlineStr">
        <is>
          <t xml:space="preserve"> </t>
        </is>
      </c>
      <c r="BD59" t="n">
        <v>0</v>
      </c>
      <c r="BE59" t="n">
        <v>1</v>
      </c>
      <c r="BF59" t="n">
        <v>0</v>
      </c>
      <c r="BH59" t="n">
        <v>0</v>
      </c>
      <c r="BI59" t="n">
        <v>0</v>
      </c>
      <c r="BJ59" t="n">
        <v>0</v>
      </c>
      <c r="BK59" t="n">
        <v>1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W59" t="n">
        <v>1</v>
      </c>
      <c r="BX59" t="n">
        <v>1</v>
      </c>
      <c r="BY59" t="n">
        <v>0</v>
      </c>
      <c r="BZ59" s="98" t="n">
        <v>8</v>
      </c>
      <c r="CA59" t="n">
        <v>18</v>
      </c>
      <c r="CB59" t="n">
        <v>26</v>
      </c>
      <c r="CC59" t="n">
        <v>0</v>
      </c>
      <c r="CD59" t="n">
        <v>4</v>
      </c>
      <c r="CE59" t="n">
        <v>4</v>
      </c>
      <c r="CF59" t="n">
        <v>4</v>
      </c>
      <c r="CG59" t="n">
        <v>108</v>
      </c>
      <c r="CH59" t="n">
        <v>30</v>
      </c>
      <c r="CI59" t="n">
        <v>112</v>
      </c>
      <c r="CJ59" s="7" t="n">
        <v>138</v>
      </c>
    </row>
    <row r="60">
      <c r="A60" t="inlineStr">
        <is>
          <t>Müller-Kohl, Ricardo</t>
        </is>
      </c>
      <c r="B60" t="inlineStr">
        <is>
          <t>M</t>
        </is>
      </c>
      <c r="C60" t="n">
        <v>8</v>
      </c>
      <c r="Y60" s="98" t="inlineStr">
        <is>
          <t xml:space="preserve"> </t>
        </is>
      </c>
      <c r="BC60" s="60" t="inlineStr">
        <is>
          <t xml:space="preserve"> </t>
        </is>
      </c>
      <c r="BZ60" s="98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8</v>
      </c>
      <c r="CH60" t="n">
        <v>0</v>
      </c>
      <c r="CI60" t="n">
        <v>8</v>
      </c>
      <c r="CJ60" s="7" t="n">
        <v>8</v>
      </c>
    </row>
    <row r="61">
      <c r="A61" t="inlineStr">
        <is>
          <t>Murer Matthias</t>
        </is>
      </c>
      <c r="B61" t="inlineStr">
        <is>
          <t>L</t>
        </is>
      </c>
      <c r="C61" t="n">
        <v>265</v>
      </c>
      <c r="Y61" s="98" t="inlineStr">
        <is>
          <t xml:space="preserve"> </t>
        </is>
      </c>
      <c r="BC61" s="60" t="inlineStr">
        <is>
          <t xml:space="preserve"> </t>
        </is>
      </c>
      <c r="BZ61" s="98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265</v>
      </c>
      <c r="CH61" t="n">
        <v>0</v>
      </c>
      <c r="CI61" t="n">
        <v>265</v>
      </c>
      <c r="CJ61" s="7" t="n">
        <v>265</v>
      </c>
    </row>
    <row r="62">
      <c r="A62" t="inlineStr">
        <is>
          <t>Neumaier Tizian</t>
        </is>
      </c>
      <c r="C62" t="n">
        <v>0</v>
      </c>
      <c r="Y62" s="98" t="inlineStr">
        <is>
          <t xml:space="preserve"> </t>
        </is>
      </c>
      <c r="BA62" t="n">
        <v>0</v>
      </c>
      <c r="BC62" s="60" t="inlineStr">
        <is>
          <t xml:space="preserve"> </t>
        </is>
      </c>
      <c r="BF62" t="n">
        <v>1</v>
      </c>
      <c r="BL62" t="n">
        <v>0</v>
      </c>
      <c r="BW62" t="n">
        <v>0</v>
      </c>
      <c r="BZ62" s="98" t="n">
        <v>1</v>
      </c>
      <c r="CA62" t="n">
        <v>3</v>
      </c>
      <c r="CB62" t="n">
        <v>4</v>
      </c>
      <c r="CC62" t="n">
        <v>0</v>
      </c>
      <c r="CD62" t="n">
        <v>1</v>
      </c>
      <c r="CE62" t="n">
        <v>1</v>
      </c>
      <c r="CF62" t="n">
        <v>0</v>
      </c>
      <c r="CG62" t="n">
        <v>0</v>
      </c>
      <c r="CH62" t="n">
        <v>4</v>
      </c>
      <c r="CI62" t="n">
        <v>1</v>
      </c>
      <c r="CJ62" s="7" t="n">
        <v>4</v>
      </c>
    </row>
    <row r="63">
      <c r="A63" t="inlineStr">
        <is>
          <t>Oehler Alex</t>
        </is>
      </c>
      <c r="B63" t="inlineStr">
        <is>
          <t>L</t>
        </is>
      </c>
      <c r="C63" t="n">
        <v>108</v>
      </c>
      <c r="Y63" s="98" t="inlineStr">
        <is>
          <t xml:space="preserve"> </t>
        </is>
      </c>
      <c r="BC63" s="60" t="inlineStr">
        <is>
          <t xml:space="preserve"> </t>
        </is>
      </c>
      <c r="BZ63" s="98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108</v>
      </c>
      <c r="CH63" t="n">
        <v>0</v>
      </c>
      <c r="CI63" t="n">
        <v>108</v>
      </c>
      <c r="CJ63" s="7" t="n">
        <v>108</v>
      </c>
    </row>
    <row r="64">
      <c r="A64" t="inlineStr">
        <is>
          <t>Oehler Christoph</t>
        </is>
      </c>
      <c r="B64" t="inlineStr">
        <is>
          <t>L</t>
        </is>
      </c>
      <c r="C64" t="n">
        <v>106</v>
      </c>
      <c r="Y64" s="98" t="inlineStr">
        <is>
          <t xml:space="preserve"> </t>
        </is>
      </c>
      <c r="BC64" s="60" t="inlineStr">
        <is>
          <t xml:space="preserve"> </t>
        </is>
      </c>
      <c r="BZ64" s="98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106</v>
      </c>
      <c r="CH64" t="n">
        <v>0</v>
      </c>
      <c r="CI64" t="n">
        <v>106</v>
      </c>
      <c r="CJ64" s="7" t="n">
        <v>106</v>
      </c>
    </row>
    <row r="65">
      <c r="A65" t="inlineStr">
        <is>
          <t>Palmer Lukas</t>
        </is>
      </c>
      <c r="C65" t="n">
        <v>0</v>
      </c>
      <c r="Y65" s="98" t="inlineStr">
        <is>
          <t xml:space="preserve"> </t>
        </is>
      </c>
      <c r="BC65" s="60" t="inlineStr">
        <is>
          <t xml:space="preserve"> </t>
        </is>
      </c>
      <c r="BK65" t="n">
        <v>0</v>
      </c>
      <c r="BL65" t="n">
        <v>0</v>
      </c>
      <c r="BP65" t="n">
        <v>0</v>
      </c>
      <c r="BU65" t="n">
        <v>0</v>
      </c>
      <c r="BW65" t="n">
        <v>0</v>
      </c>
      <c r="BX65" t="n">
        <v>0</v>
      </c>
      <c r="BY65" t="n">
        <v>0</v>
      </c>
      <c r="BZ65" s="98" t="n">
        <v>0</v>
      </c>
      <c r="CA65" t="n">
        <v>7</v>
      </c>
      <c r="CB65" t="n">
        <v>7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7</v>
      </c>
      <c r="CI65" t="n">
        <v>0</v>
      </c>
      <c r="CJ65" s="7" t="n">
        <v>7</v>
      </c>
    </row>
    <row r="66">
      <c r="A66" t="inlineStr">
        <is>
          <t>Pfundstein Andreas</t>
        </is>
      </c>
      <c r="B66" t="inlineStr">
        <is>
          <t>L</t>
        </is>
      </c>
      <c r="C66" t="n">
        <v>119</v>
      </c>
      <c r="Y66" s="98" t="inlineStr">
        <is>
          <t xml:space="preserve"> </t>
        </is>
      </c>
      <c r="BC66" s="60" t="inlineStr">
        <is>
          <t xml:space="preserve"> </t>
        </is>
      </c>
      <c r="BH66" t="n">
        <v>1</v>
      </c>
      <c r="BV66" t="n">
        <v>1</v>
      </c>
      <c r="BZ66" s="98" t="n">
        <v>0</v>
      </c>
      <c r="CA66" t="n">
        <v>2</v>
      </c>
      <c r="CB66" t="n">
        <v>2</v>
      </c>
      <c r="CC66" t="n">
        <v>0</v>
      </c>
      <c r="CD66" t="n">
        <v>2</v>
      </c>
      <c r="CE66" t="n">
        <v>2</v>
      </c>
      <c r="CF66" t="n">
        <v>0</v>
      </c>
      <c r="CG66" t="n">
        <v>119</v>
      </c>
      <c r="CH66" t="n">
        <v>2</v>
      </c>
      <c r="CI66" t="n">
        <v>121</v>
      </c>
      <c r="CJ66" s="7" t="n">
        <v>121</v>
      </c>
    </row>
    <row r="67">
      <c r="A67" t="inlineStr">
        <is>
          <t>Preuss Jeremias</t>
        </is>
      </c>
      <c r="B67" t="inlineStr">
        <is>
          <t>M</t>
        </is>
      </c>
      <c r="C67" t="n">
        <v>128</v>
      </c>
      <c r="E67" t="n">
        <v>0</v>
      </c>
      <c r="F67" t="n">
        <v>0</v>
      </c>
      <c r="H67" t="n">
        <v>0</v>
      </c>
      <c r="J67" t="n">
        <v>0</v>
      </c>
      <c r="O67" t="n">
        <v>1</v>
      </c>
      <c r="T67" t="n">
        <v>1</v>
      </c>
      <c r="Y67" s="98" t="inlineStr">
        <is>
          <t xml:space="preserve"> </t>
        </is>
      </c>
      <c r="AA67" t="n">
        <v>0</v>
      </c>
      <c r="AC67" t="n">
        <v>0</v>
      </c>
      <c r="AD67" t="n">
        <v>1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1</v>
      </c>
      <c r="AR67" t="n">
        <v>0</v>
      </c>
      <c r="AT67" t="n">
        <v>0</v>
      </c>
      <c r="AU67" t="n">
        <v>0</v>
      </c>
      <c r="AV67" t="n">
        <v>3</v>
      </c>
      <c r="AW67" t="n">
        <v>1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s="60" t="inlineStr">
        <is>
          <t xml:space="preserve"> </t>
        </is>
      </c>
      <c r="BZ67" s="98" t="n">
        <v>24</v>
      </c>
      <c r="CA67" t="n">
        <v>0</v>
      </c>
      <c r="CB67" t="n">
        <v>24</v>
      </c>
      <c r="CC67" t="n">
        <v>7</v>
      </c>
      <c r="CD67" t="n">
        <v>0</v>
      </c>
      <c r="CE67" t="n">
        <v>7</v>
      </c>
      <c r="CF67" t="n">
        <v>6</v>
      </c>
      <c r="CG67" t="n">
        <v>130</v>
      </c>
      <c r="CH67" t="n">
        <v>30</v>
      </c>
      <c r="CI67" t="n">
        <v>137</v>
      </c>
      <c r="CJ67" s="7" t="n">
        <v>158</v>
      </c>
    </row>
    <row r="68">
      <c r="A68" t="inlineStr">
        <is>
          <t>Preuss Jonas</t>
        </is>
      </c>
      <c r="B68" t="inlineStr">
        <is>
          <t>M</t>
        </is>
      </c>
      <c r="C68" t="n">
        <v>262</v>
      </c>
      <c r="E68" t="n">
        <v>0</v>
      </c>
      <c r="F68" t="n">
        <v>0</v>
      </c>
      <c r="H68" t="n">
        <v>1</v>
      </c>
      <c r="R68" s="92" t="n"/>
      <c r="Y68" s="98" t="n">
        <v>0</v>
      </c>
      <c r="BC68" s="60" t="inlineStr">
        <is>
          <t xml:space="preserve"> </t>
        </is>
      </c>
      <c r="BE68" t="n">
        <v>4</v>
      </c>
      <c r="BF68" t="n">
        <v>0</v>
      </c>
      <c r="BZ68" s="98" t="n">
        <v>1</v>
      </c>
      <c r="CA68" t="n">
        <v>2</v>
      </c>
      <c r="CB68" t="n">
        <v>3</v>
      </c>
      <c r="CC68" t="n">
        <v>0</v>
      </c>
      <c r="CD68" t="n">
        <v>4</v>
      </c>
      <c r="CE68" t="n">
        <v>4</v>
      </c>
      <c r="CF68" t="n">
        <v>3</v>
      </c>
      <c r="CG68" t="n">
        <v>263</v>
      </c>
      <c r="CH68" t="n">
        <v>6</v>
      </c>
      <c r="CI68" t="n">
        <v>267</v>
      </c>
      <c r="CJ68" s="7" t="n">
        <v>268</v>
      </c>
    </row>
    <row r="69">
      <c r="A69" s="92" t="inlineStr">
        <is>
          <t>Preuss Marius</t>
        </is>
      </c>
      <c r="B69" s="92" t="inlineStr">
        <is>
          <t>M</t>
        </is>
      </c>
      <c r="C69" t="n">
        <v>15</v>
      </c>
      <c r="Y69" s="98" t="inlineStr">
        <is>
          <t xml:space="preserve"> </t>
        </is>
      </c>
      <c r="BC69" s="60" t="inlineStr">
        <is>
          <t xml:space="preserve"> </t>
        </is>
      </c>
      <c r="BZ69" s="98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15</v>
      </c>
      <c r="CH69" t="n">
        <v>0</v>
      </c>
      <c r="CI69" t="n">
        <v>15</v>
      </c>
      <c r="CJ69" s="7" t="n">
        <v>15</v>
      </c>
    </row>
    <row r="70">
      <c r="A70" t="inlineStr">
        <is>
          <t>Preuss Philip</t>
        </is>
      </c>
      <c r="B70" t="inlineStr">
        <is>
          <t>M</t>
        </is>
      </c>
      <c r="C70" t="n">
        <v>135</v>
      </c>
      <c r="Y70" s="98" t="inlineStr">
        <is>
          <t xml:space="preserve"> </t>
        </is>
      </c>
      <c r="BC70" s="60" t="inlineStr">
        <is>
          <t xml:space="preserve"> </t>
        </is>
      </c>
      <c r="BD70" t="n">
        <v>0</v>
      </c>
      <c r="BE70" t="n">
        <v>1</v>
      </c>
      <c r="BF70" t="n">
        <v>1</v>
      </c>
      <c r="BG70" t="n">
        <v>0</v>
      </c>
      <c r="BH70" t="n">
        <v>0</v>
      </c>
      <c r="BI70" t="n">
        <v>0</v>
      </c>
      <c r="BJ70" t="n">
        <v>0</v>
      </c>
      <c r="BK70" t="n">
        <v>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R70" t="n">
        <v>0</v>
      </c>
      <c r="BS70" t="n">
        <v>1</v>
      </c>
      <c r="BT70" t="n">
        <v>0</v>
      </c>
      <c r="BU70" t="n">
        <v>0</v>
      </c>
      <c r="BV70" t="n">
        <v>0</v>
      </c>
      <c r="BW70" t="n">
        <v>0</v>
      </c>
      <c r="BX70" t="n">
        <v>1</v>
      </c>
      <c r="BY70" t="n">
        <v>0</v>
      </c>
      <c r="BZ70" s="98" t="n">
        <v>0</v>
      </c>
      <c r="CA70" t="n">
        <v>21</v>
      </c>
      <c r="CB70" t="n">
        <v>21</v>
      </c>
      <c r="CC70" t="n">
        <v>0</v>
      </c>
      <c r="CD70" t="n">
        <v>5</v>
      </c>
      <c r="CE70" t="n">
        <v>5</v>
      </c>
      <c r="CF70" t="n">
        <v>0</v>
      </c>
      <c r="CG70" t="n">
        <v>135</v>
      </c>
      <c r="CH70" t="n">
        <v>21</v>
      </c>
      <c r="CI70" t="n">
        <v>140</v>
      </c>
      <c r="CJ70" s="7" t="n">
        <v>156</v>
      </c>
    </row>
    <row r="71">
      <c r="A71" t="inlineStr">
        <is>
          <t>Reuter J.</t>
        </is>
      </c>
      <c r="B71" t="inlineStr">
        <is>
          <t>M</t>
        </is>
      </c>
      <c r="C71" t="n">
        <v>196</v>
      </c>
      <c r="E71" t="n">
        <v>0</v>
      </c>
      <c r="H71" t="n">
        <v>1</v>
      </c>
      <c r="O71" t="n">
        <v>0</v>
      </c>
      <c r="P71" t="n">
        <v>0</v>
      </c>
      <c r="Y71" s="98" t="inlineStr">
        <is>
          <t xml:space="preserve"> </t>
        </is>
      </c>
      <c r="AA71" t="n">
        <v>0</v>
      </c>
      <c r="AC71" t="n">
        <v>0</v>
      </c>
      <c r="AD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P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Y71" t="n">
        <v>0</v>
      </c>
      <c r="AZ71" t="n">
        <v>0</v>
      </c>
      <c r="BA71" t="n">
        <v>0</v>
      </c>
      <c r="BC71" s="60" t="inlineStr">
        <is>
          <t xml:space="preserve"> </t>
        </is>
      </c>
      <c r="BU71" t="n">
        <v>0</v>
      </c>
      <c r="BZ71" s="98" t="n">
        <v>21</v>
      </c>
      <c r="CA71" t="n">
        <v>1</v>
      </c>
      <c r="CB71" t="n">
        <v>22</v>
      </c>
      <c r="CC71" t="n">
        <v>1</v>
      </c>
      <c r="CD71" t="n">
        <v>0</v>
      </c>
      <c r="CE71" t="n">
        <v>1</v>
      </c>
      <c r="CF71" t="n">
        <v>4</v>
      </c>
      <c r="CG71" t="n">
        <v>197</v>
      </c>
      <c r="CH71" t="n">
        <v>26</v>
      </c>
      <c r="CI71" t="n">
        <v>198</v>
      </c>
      <c r="CJ71" s="7" t="n">
        <v>222</v>
      </c>
    </row>
    <row r="72">
      <c r="A72" t="inlineStr">
        <is>
          <t>Roeder</t>
        </is>
      </c>
      <c r="B72" t="inlineStr">
        <is>
          <t>M</t>
        </is>
      </c>
      <c r="C72" t="n">
        <v>86</v>
      </c>
      <c r="Y72" s="98" t="inlineStr">
        <is>
          <t xml:space="preserve"> </t>
        </is>
      </c>
      <c r="BC72" s="60" t="inlineStr">
        <is>
          <t xml:space="preserve"> </t>
        </is>
      </c>
      <c r="BZ72" s="98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86</v>
      </c>
      <c r="CH72" t="n">
        <v>0</v>
      </c>
      <c r="CI72" t="n">
        <v>86</v>
      </c>
      <c r="CJ72" s="7" t="n">
        <v>86</v>
      </c>
    </row>
    <row r="73">
      <c r="A73" t="inlineStr">
        <is>
          <t>Ruoff Ulli</t>
        </is>
      </c>
      <c r="B73" t="inlineStr">
        <is>
          <t>L</t>
        </is>
      </c>
      <c r="C73" t="n">
        <v>351</v>
      </c>
      <c r="H73" t="n">
        <v>0</v>
      </c>
      <c r="J73" t="n">
        <v>0</v>
      </c>
      <c r="P73" t="n">
        <v>0</v>
      </c>
      <c r="V73" t="n">
        <v>0</v>
      </c>
      <c r="Y73" s="98" t="inlineStr">
        <is>
          <t xml:space="preserve"> </t>
        </is>
      </c>
      <c r="BC73" s="60" t="inlineStr">
        <is>
          <t xml:space="preserve"> </t>
        </is>
      </c>
      <c r="BI73" t="n">
        <v>0</v>
      </c>
      <c r="BK73" t="n">
        <v>0</v>
      </c>
      <c r="BL73" t="n">
        <v>0</v>
      </c>
      <c r="BS73" t="n">
        <v>0</v>
      </c>
      <c r="BU73" t="n">
        <v>0</v>
      </c>
      <c r="BV73" t="n">
        <v>0</v>
      </c>
      <c r="BX73" t="n">
        <v>0</v>
      </c>
      <c r="BY73" t="n">
        <v>0</v>
      </c>
      <c r="BZ73" s="98" t="n">
        <v>0</v>
      </c>
      <c r="CA73" t="n">
        <v>8</v>
      </c>
      <c r="CB73" t="n">
        <v>8</v>
      </c>
      <c r="CC73" t="n">
        <v>0</v>
      </c>
      <c r="CD73" t="n">
        <v>0</v>
      </c>
      <c r="CE73" t="n">
        <v>0</v>
      </c>
      <c r="CF73" t="n">
        <v>4</v>
      </c>
      <c r="CG73" t="n">
        <v>351</v>
      </c>
      <c r="CH73" t="n">
        <v>12</v>
      </c>
      <c r="CI73" t="n">
        <v>351</v>
      </c>
      <c r="CJ73" s="7" t="n">
        <v>363</v>
      </c>
    </row>
    <row r="74">
      <c r="A74" s="92" t="inlineStr">
        <is>
          <t>Schaumann David</t>
        </is>
      </c>
      <c r="B74" s="92" t="inlineStr">
        <is>
          <t>M</t>
        </is>
      </c>
      <c r="C74" t="n">
        <v>35</v>
      </c>
      <c r="E74" t="n">
        <v>0</v>
      </c>
      <c r="F74" t="n">
        <v>0</v>
      </c>
      <c r="H74" t="n">
        <v>0</v>
      </c>
      <c r="O74" s="92" t="n">
        <v>0</v>
      </c>
      <c r="Y74" s="98" t="inlineStr">
        <is>
          <t xml:space="preserve"> </t>
        </is>
      </c>
      <c r="AW74" t="n">
        <v>1</v>
      </c>
      <c r="BC74" s="60" t="inlineStr">
        <is>
          <t xml:space="preserve"> </t>
        </is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O74" t="n">
        <v>0</v>
      </c>
      <c r="BP74" t="n">
        <v>0</v>
      </c>
      <c r="BR74" t="n">
        <v>0</v>
      </c>
      <c r="BS74" t="n">
        <v>0</v>
      </c>
      <c r="BT74" t="n">
        <v>0</v>
      </c>
      <c r="BW74" t="n">
        <v>1</v>
      </c>
      <c r="BZ74" s="98" t="n">
        <v>1</v>
      </c>
      <c r="CA74" t="n">
        <v>15</v>
      </c>
      <c r="CB74" t="n">
        <v>16</v>
      </c>
      <c r="CC74" t="n">
        <v>1</v>
      </c>
      <c r="CD74" t="n">
        <v>1</v>
      </c>
      <c r="CE74" t="n">
        <v>2</v>
      </c>
      <c r="CF74" t="n">
        <v>4</v>
      </c>
      <c r="CG74" t="n">
        <v>35</v>
      </c>
      <c r="CH74" t="n">
        <v>20</v>
      </c>
      <c r="CI74" t="n">
        <v>37</v>
      </c>
      <c r="CJ74" s="7" t="n">
        <v>55</v>
      </c>
    </row>
    <row r="75">
      <c r="A75" t="inlineStr">
        <is>
          <t>Schaumann Seb</t>
        </is>
      </c>
      <c r="B75" t="inlineStr">
        <is>
          <t>M</t>
        </is>
      </c>
      <c r="C75" t="n">
        <v>134</v>
      </c>
      <c r="E75" t="n">
        <v>0</v>
      </c>
      <c r="F75" t="n">
        <v>1</v>
      </c>
      <c r="H75" t="n">
        <v>0</v>
      </c>
      <c r="P75" t="n">
        <v>0</v>
      </c>
      <c r="Y75" s="98" t="n">
        <v>0</v>
      </c>
      <c r="Z75" t="n">
        <v>0</v>
      </c>
      <c r="AE75" t="n">
        <v>0</v>
      </c>
      <c r="AF75" t="n">
        <v>1</v>
      </c>
      <c r="AG75" t="n">
        <v>1</v>
      </c>
      <c r="AH75" t="n">
        <v>0</v>
      </c>
      <c r="AI75" t="n">
        <v>1</v>
      </c>
      <c r="AJ75" t="n">
        <v>0</v>
      </c>
      <c r="AL75" t="n">
        <v>2</v>
      </c>
      <c r="AM75" t="n">
        <v>1</v>
      </c>
      <c r="AN75" t="n">
        <v>0</v>
      </c>
      <c r="AO75" t="n">
        <v>0</v>
      </c>
      <c r="AP75" t="n">
        <v>1</v>
      </c>
      <c r="AR75" t="n">
        <v>0</v>
      </c>
      <c r="AS75" t="n">
        <v>0</v>
      </c>
      <c r="AT75" t="n">
        <v>0</v>
      </c>
      <c r="AU75" t="n">
        <v>0</v>
      </c>
      <c r="AY75" t="n">
        <v>0</v>
      </c>
      <c r="BC75" s="60" t="inlineStr">
        <is>
          <t xml:space="preserve"> </t>
        </is>
      </c>
      <c r="BV75" t="n">
        <v>0</v>
      </c>
      <c r="BW75" t="n">
        <v>0</v>
      </c>
      <c r="BZ75" s="98" t="n">
        <v>18</v>
      </c>
      <c r="CA75" t="n">
        <v>2</v>
      </c>
      <c r="CB75" t="n">
        <v>20</v>
      </c>
      <c r="CC75" t="n">
        <v>7</v>
      </c>
      <c r="CD75" t="n">
        <v>0</v>
      </c>
      <c r="CE75" t="n">
        <v>7</v>
      </c>
      <c r="CF75" t="n">
        <v>4</v>
      </c>
      <c r="CG75" t="n">
        <v>135</v>
      </c>
      <c r="CH75" t="n">
        <v>24</v>
      </c>
      <c r="CI75" t="n">
        <v>142</v>
      </c>
      <c r="CJ75" s="7" t="n">
        <v>158</v>
      </c>
    </row>
    <row r="76">
      <c r="A76" s="92" t="inlineStr">
        <is>
          <t>Schmid Marc</t>
        </is>
      </c>
      <c r="C76" t="n">
        <v>0</v>
      </c>
      <c r="Y76" s="98" t="inlineStr">
        <is>
          <t xml:space="preserve"> </t>
        </is>
      </c>
      <c r="BC76" s="60" t="inlineStr">
        <is>
          <t xml:space="preserve"> </t>
        </is>
      </c>
      <c r="BN76" t="n">
        <v>0</v>
      </c>
      <c r="BZ76" s="98" t="n">
        <v>0</v>
      </c>
      <c r="CA76" t="n">
        <v>1</v>
      </c>
      <c r="CB76" t="n">
        <v>1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0</v>
      </c>
      <c r="CJ76" s="7" t="n">
        <v>1</v>
      </c>
    </row>
    <row r="77">
      <c r="A77" t="inlineStr">
        <is>
          <t>Schwenk Kevin</t>
        </is>
      </c>
      <c r="B77" t="inlineStr">
        <is>
          <t>L</t>
        </is>
      </c>
      <c r="C77" t="n">
        <v>164</v>
      </c>
      <c r="P77" s="92" t="n"/>
      <c r="Y77" s="98" t="inlineStr">
        <is>
          <t xml:space="preserve"> </t>
        </is>
      </c>
      <c r="BC77" s="60" t="inlineStr">
        <is>
          <t xml:space="preserve"> </t>
        </is>
      </c>
      <c r="BZ77" s="98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164</v>
      </c>
      <c r="CH77" t="n">
        <v>0</v>
      </c>
      <c r="CI77" t="n">
        <v>164</v>
      </c>
      <c r="CJ77" s="7" t="n">
        <v>164</v>
      </c>
    </row>
    <row r="78">
      <c r="A78" t="inlineStr">
        <is>
          <t>Seidel Jan</t>
        </is>
      </c>
      <c r="C78" t="n">
        <v>25</v>
      </c>
      <c r="Y78" s="98" t="inlineStr">
        <is>
          <t xml:space="preserve"> </t>
        </is>
      </c>
      <c r="BC78" s="60" t="inlineStr">
        <is>
          <t xml:space="preserve"> </t>
        </is>
      </c>
      <c r="BO78" t="n">
        <v>0</v>
      </c>
      <c r="BR78" t="n">
        <v>0</v>
      </c>
      <c r="BS78" t="n">
        <v>1</v>
      </c>
      <c r="BT78" t="n">
        <v>0</v>
      </c>
      <c r="BZ78" s="98" t="n">
        <v>0</v>
      </c>
      <c r="CA78" t="n">
        <v>4</v>
      </c>
      <c r="CB78" t="n">
        <v>4</v>
      </c>
      <c r="CC78" t="n">
        <v>0</v>
      </c>
      <c r="CD78" t="n">
        <v>1</v>
      </c>
      <c r="CE78" t="n">
        <v>1</v>
      </c>
      <c r="CF78" t="n">
        <v>0</v>
      </c>
      <c r="CG78" t="n">
        <v>25</v>
      </c>
      <c r="CH78" t="n">
        <v>4</v>
      </c>
      <c r="CI78" t="n">
        <v>26</v>
      </c>
      <c r="CJ78" s="7" t="n">
        <v>29</v>
      </c>
    </row>
    <row r="79">
      <c r="A79" t="inlineStr">
        <is>
          <t>Sekinger Fabian</t>
        </is>
      </c>
      <c r="B79" t="inlineStr">
        <is>
          <t>L</t>
        </is>
      </c>
      <c r="C79" t="n">
        <v>72</v>
      </c>
      <c r="J79" t="n">
        <v>0</v>
      </c>
      <c r="P79" t="n">
        <v>0</v>
      </c>
      <c r="V79" t="n">
        <v>0</v>
      </c>
      <c r="Y79" s="98" t="inlineStr">
        <is>
          <t xml:space="preserve"> </t>
        </is>
      </c>
      <c r="BC79" s="60" t="inlineStr">
        <is>
          <t xml:space="preserve"> </t>
        </is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M79" t="n">
        <v>0</v>
      </c>
      <c r="BO79" t="n">
        <v>0</v>
      </c>
      <c r="BQ79" t="n">
        <v>0</v>
      </c>
      <c r="BR79" t="n">
        <v>0</v>
      </c>
      <c r="BZ79" s="98" t="n">
        <v>0</v>
      </c>
      <c r="CA79" t="n">
        <v>11</v>
      </c>
      <c r="CB79" t="n">
        <v>11</v>
      </c>
      <c r="CC79" t="n">
        <v>0</v>
      </c>
      <c r="CD79" t="n">
        <v>0</v>
      </c>
      <c r="CE79" t="n">
        <v>0</v>
      </c>
      <c r="CF79" t="n">
        <v>3</v>
      </c>
      <c r="CG79" t="n">
        <v>72</v>
      </c>
      <c r="CH79" t="n">
        <v>14</v>
      </c>
      <c r="CI79" t="n">
        <v>72</v>
      </c>
      <c r="CJ79" s="7" t="n">
        <v>86</v>
      </c>
    </row>
    <row r="80">
      <c r="A80" t="inlineStr">
        <is>
          <t>Staiger Elmar</t>
        </is>
      </c>
      <c r="B80" t="inlineStr">
        <is>
          <t>L</t>
        </is>
      </c>
      <c r="C80" t="n">
        <v>205</v>
      </c>
      <c r="Y80" s="98" t="inlineStr">
        <is>
          <t xml:space="preserve"> </t>
        </is>
      </c>
      <c r="BC80" s="60" t="inlineStr">
        <is>
          <t xml:space="preserve"> </t>
        </is>
      </c>
      <c r="BZ80" s="98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205</v>
      </c>
      <c r="CH80" t="n">
        <v>0</v>
      </c>
      <c r="CI80" t="n">
        <v>205</v>
      </c>
      <c r="CJ80" s="7" t="n">
        <v>205</v>
      </c>
    </row>
    <row r="81">
      <c r="A81" t="inlineStr">
        <is>
          <t>Staiger Tobias</t>
        </is>
      </c>
      <c r="B81" t="inlineStr">
        <is>
          <t>L</t>
        </is>
      </c>
      <c r="C81" t="n">
        <v>292</v>
      </c>
      <c r="F81" t="n">
        <v>1</v>
      </c>
      <c r="H81" t="n">
        <v>1</v>
      </c>
      <c r="J81" t="n">
        <v>0</v>
      </c>
      <c r="O81" t="n">
        <v>1</v>
      </c>
      <c r="T81" t="n">
        <v>0</v>
      </c>
      <c r="Y81" s="98" t="n">
        <v>0</v>
      </c>
      <c r="Z81" t="n">
        <v>2</v>
      </c>
      <c r="AA81" t="n">
        <v>0</v>
      </c>
      <c r="AC81" t="n">
        <v>2</v>
      </c>
      <c r="AD81" t="n">
        <v>1</v>
      </c>
      <c r="AE81" t="n">
        <v>1</v>
      </c>
      <c r="AF81" t="n">
        <v>1</v>
      </c>
      <c r="AG81" t="n">
        <v>0</v>
      </c>
      <c r="AH81" t="n">
        <v>1</v>
      </c>
      <c r="AI81" t="n">
        <v>0</v>
      </c>
      <c r="AJ81" t="n">
        <v>2</v>
      </c>
      <c r="AK81" t="n">
        <v>0</v>
      </c>
      <c r="AL81" t="n">
        <v>0</v>
      </c>
      <c r="AM81" t="n">
        <v>1</v>
      </c>
      <c r="AN81" t="n">
        <v>0</v>
      </c>
      <c r="AO81" t="n">
        <v>1</v>
      </c>
      <c r="AP81" t="n">
        <v>0</v>
      </c>
      <c r="AR81" t="n">
        <v>0</v>
      </c>
      <c r="AS81" t="n">
        <v>0</v>
      </c>
      <c r="AT81" t="n">
        <v>0</v>
      </c>
      <c r="AU81" t="n">
        <v>2</v>
      </c>
      <c r="AV81" t="n">
        <v>0</v>
      </c>
      <c r="AW81" t="n">
        <v>1</v>
      </c>
      <c r="AX81" t="n">
        <v>0</v>
      </c>
      <c r="AY81" t="n">
        <v>1</v>
      </c>
      <c r="AZ81" t="n">
        <v>0</v>
      </c>
      <c r="BA81" t="n">
        <v>0</v>
      </c>
      <c r="BB81" t="n">
        <v>0</v>
      </c>
      <c r="BC81" s="60" t="inlineStr">
        <is>
          <t xml:space="preserve"> </t>
        </is>
      </c>
      <c r="BZ81" s="98" t="n">
        <v>28</v>
      </c>
      <c r="CA81" t="n">
        <v>0</v>
      </c>
      <c r="CB81" t="n">
        <v>28</v>
      </c>
      <c r="CC81" t="n">
        <v>16</v>
      </c>
      <c r="CD81" t="n">
        <v>0</v>
      </c>
      <c r="CE81" t="n">
        <v>16</v>
      </c>
      <c r="CF81" t="n">
        <v>5</v>
      </c>
      <c r="CG81" t="n">
        <v>295</v>
      </c>
      <c r="CH81" t="n">
        <v>33</v>
      </c>
      <c r="CI81" t="n">
        <v>311</v>
      </c>
      <c r="CJ81" s="7" t="n">
        <v>325</v>
      </c>
    </row>
    <row r="82">
      <c r="A82" t="inlineStr">
        <is>
          <t>Stein Matthias</t>
        </is>
      </c>
      <c r="B82" t="inlineStr">
        <is>
          <t>L</t>
        </is>
      </c>
      <c r="C82" t="n">
        <v>130</v>
      </c>
      <c r="Y82" s="98" t="inlineStr">
        <is>
          <t xml:space="preserve"> </t>
        </is>
      </c>
      <c r="BC82" s="60" t="inlineStr">
        <is>
          <t xml:space="preserve"> </t>
        </is>
      </c>
      <c r="BZ82" s="98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130</v>
      </c>
      <c r="CH82" t="n">
        <v>0</v>
      </c>
      <c r="CI82" t="n">
        <v>130</v>
      </c>
      <c r="CJ82" s="7" t="n">
        <v>130</v>
      </c>
    </row>
    <row r="83">
      <c r="A83" t="inlineStr">
        <is>
          <t>Stern Alexander</t>
        </is>
      </c>
      <c r="B83" t="inlineStr">
        <is>
          <t>M</t>
        </is>
      </c>
      <c r="C83" t="n">
        <v>160</v>
      </c>
      <c r="Y83" s="98" t="inlineStr">
        <is>
          <t xml:space="preserve"> </t>
        </is>
      </c>
      <c r="BC83" s="60" t="inlineStr">
        <is>
          <t xml:space="preserve"> </t>
        </is>
      </c>
      <c r="BZ83" s="98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160</v>
      </c>
      <c r="CH83" t="n">
        <v>0</v>
      </c>
      <c r="CI83" t="n">
        <v>160</v>
      </c>
      <c r="CJ83" s="7" t="n">
        <v>160</v>
      </c>
    </row>
    <row r="84">
      <c r="A84" t="inlineStr">
        <is>
          <t>Storz Tobi</t>
        </is>
      </c>
      <c r="B84" t="inlineStr">
        <is>
          <t>M</t>
        </is>
      </c>
      <c r="C84" t="n">
        <v>107</v>
      </c>
      <c r="Y84" s="98" t="inlineStr">
        <is>
          <t xml:space="preserve"> </t>
        </is>
      </c>
      <c r="BC84" s="60" t="inlineStr">
        <is>
          <t xml:space="preserve"> </t>
        </is>
      </c>
      <c r="BZ84" s="98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107</v>
      </c>
      <c r="CH84" t="n">
        <v>0</v>
      </c>
      <c r="CI84" t="n">
        <v>107</v>
      </c>
      <c r="CJ84" s="7" t="n">
        <v>107</v>
      </c>
    </row>
    <row r="85">
      <c r="A85" t="inlineStr">
        <is>
          <t>Thies Yannick</t>
        </is>
      </c>
      <c r="C85" t="n">
        <v>11</v>
      </c>
      <c r="E85" t="n">
        <v>0</v>
      </c>
      <c r="J85" t="n">
        <v>0</v>
      </c>
      <c r="P85" t="n">
        <v>0</v>
      </c>
      <c r="V85" t="n">
        <v>0</v>
      </c>
      <c r="Y85" s="98" t="inlineStr">
        <is>
          <t xml:space="preserve"> </t>
        </is>
      </c>
      <c r="AS85" t="n">
        <v>0</v>
      </c>
      <c r="AZ85" t="n">
        <v>0</v>
      </c>
      <c r="BA85" t="n">
        <v>0</v>
      </c>
      <c r="BC85" s="60" t="inlineStr">
        <is>
          <t xml:space="preserve"> </t>
        </is>
      </c>
      <c r="BD85" t="n">
        <v>1</v>
      </c>
      <c r="BG85" t="n">
        <v>0</v>
      </c>
      <c r="BH85" t="n">
        <v>1</v>
      </c>
      <c r="BI85" t="n">
        <v>0</v>
      </c>
      <c r="BJ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1</v>
      </c>
      <c r="BQ85" t="n">
        <v>2</v>
      </c>
      <c r="BS85" t="n">
        <v>2</v>
      </c>
      <c r="BT85" t="n">
        <v>0</v>
      </c>
      <c r="BU85" t="n">
        <v>1</v>
      </c>
      <c r="BV85" t="n">
        <v>0</v>
      </c>
      <c r="BW85" t="n">
        <v>1</v>
      </c>
      <c r="BX85" t="n">
        <v>1</v>
      </c>
      <c r="BY85" t="n">
        <v>0</v>
      </c>
      <c r="BZ85" s="98" t="n">
        <v>3</v>
      </c>
      <c r="CA85" t="n">
        <v>18</v>
      </c>
      <c r="CB85" t="n">
        <v>21</v>
      </c>
      <c r="CC85" t="n">
        <v>0</v>
      </c>
      <c r="CD85" t="n">
        <v>10</v>
      </c>
      <c r="CE85" t="n">
        <v>10</v>
      </c>
      <c r="CF85" t="n">
        <v>4</v>
      </c>
      <c r="CG85" t="n">
        <v>11</v>
      </c>
      <c r="CH85" t="n">
        <v>25</v>
      </c>
      <c r="CI85" t="n">
        <v>21</v>
      </c>
      <c r="CJ85" s="7" t="n">
        <v>36</v>
      </c>
    </row>
    <row r="86">
      <c r="A86" t="inlineStr">
        <is>
          <t>Tramnitz Christoph</t>
        </is>
      </c>
      <c r="B86" t="inlineStr">
        <is>
          <t>L</t>
        </is>
      </c>
      <c r="C86" t="n">
        <v>134</v>
      </c>
      <c r="J86" t="n">
        <v>0</v>
      </c>
      <c r="P86" t="n">
        <v>0</v>
      </c>
      <c r="V86" t="n">
        <v>0</v>
      </c>
      <c r="Y86" s="98" t="inlineStr">
        <is>
          <t xml:space="preserve"> </t>
        </is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R86" t="n">
        <v>0</v>
      </c>
      <c r="AS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C86" s="60" t="inlineStr">
        <is>
          <t xml:space="preserve"> </t>
        </is>
      </c>
      <c r="BD86" t="n">
        <v>0</v>
      </c>
      <c r="BE86" t="n">
        <v>2</v>
      </c>
      <c r="BF86" t="n">
        <v>0</v>
      </c>
      <c r="BG86" t="n">
        <v>0</v>
      </c>
      <c r="BH86" t="n">
        <v>0</v>
      </c>
      <c r="BI86" t="n">
        <v>1</v>
      </c>
      <c r="BM86" t="n">
        <v>0</v>
      </c>
      <c r="BR86" t="n">
        <v>0</v>
      </c>
      <c r="BZ86" s="98" t="n">
        <v>16</v>
      </c>
      <c r="CA86" t="n">
        <v>8</v>
      </c>
      <c r="CB86" t="n">
        <v>24</v>
      </c>
      <c r="CC86" t="n">
        <v>0</v>
      </c>
      <c r="CD86" t="n">
        <v>3</v>
      </c>
      <c r="CE86" t="n">
        <v>3</v>
      </c>
      <c r="CF86" t="n">
        <v>3</v>
      </c>
      <c r="CG86" t="n">
        <v>134</v>
      </c>
      <c r="CH86" t="n">
        <v>27</v>
      </c>
      <c r="CI86" t="n">
        <v>137</v>
      </c>
      <c r="CJ86" s="7" t="n">
        <v>161</v>
      </c>
    </row>
    <row r="87">
      <c r="A87" t="inlineStr">
        <is>
          <t>Tramnitz Lukas</t>
        </is>
      </c>
      <c r="B87" t="inlineStr">
        <is>
          <t>L</t>
        </is>
      </c>
      <c r="C87" t="n">
        <v>57</v>
      </c>
      <c r="E87" t="n">
        <v>0</v>
      </c>
      <c r="F87" t="n">
        <v>1</v>
      </c>
      <c r="H87" t="n">
        <v>0</v>
      </c>
      <c r="J87" s="92" t="n">
        <v>0</v>
      </c>
      <c r="P87" t="n">
        <v>0</v>
      </c>
      <c r="T87" t="n">
        <v>1</v>
      </c>
      <c r="Y87" s="98" t="inlineStr">
        <is>
          <t xml:space="preserve"> </t>
        </is>
      </c>
      <c r="AA87" t="n">
        <v>0</v>
      </c>
      <c r="AC87" t="n">
        <v>0</v>
      </c>
      <c r="AD87" t="n">
        <v>0</v>
      </c>
      <c r="AE87" t="n">
        <v>0</v>
      </c>
      <c r="AF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P87" t="n">
        <v>1</v>
      </c>
      <c r="AS87" t="n">
        <v>1</v>
      </c>
      <c r="AT87" t="n">
        <v>0</v>
      </c>
      <c r="AU87" t="n">
        <v>0</v>
      </c>
      <c r="AV87" t="n">
        <v>1</v>
      </c>
      <c r="AW87" t="n">
        <v>0</v>
      </c>
      <c r="BC87" s="60" t="inlineStr">
        <is>
          <t xml:space="preserve"> </t>
        </is>
      </c>
      <c r="BU87" t="n">
        <v>0</v>
      </c>
      <c r="BZ87" s="98" t="n">
        <v>17</v>
      </c>
      <c r="CA87" t="n">
        <v>1</v>
      </c>
      <c r="CB87" t="n">
        <v>18</v>
      </c>
      <c r="CC87" t="n">
        <v>3</v>
      </c>
      <c r="CD87" t="n">
        <v>0</v>
      </c>
      <c r="CE87" t="n">
        <v>3</v>
      </c>
      <c r="CF87" t="n">
        <v>6</v>
      </c>
      <c r="CG87" t="n">
        <v>59</v>
      </c>
      <c r="CH87" t="n">
        <v>24</v>
      </c>
      <c r="CI87" t="n">
        <v>62</v>
      </c>
      <c r="CJ87" s="7" t="n">
        <v>81</v>
      </c>
    </row>
    <row r="88">
      <c r="A88" t="inlineStr">
        <is>
          <t>Trenkle Jan</t>
        </is>
      </c>
      <c r="B88" t="inlineStr">
        <is>
          <t>M</t>
        </is>
      </c>
      <c r="C88" t="n">
        <v>66</v>
      </c>
      <c r="Y88" s="98" t="n">
        <v>0</v>
      </c>
      <c r="Z88" t="n">
        <v>0</v>
      </c>
      <c r="BC88" s="60" t="inlineStr">
        <is>
          <t xml:space="preserve"> </t>
        </is>
      </c>
      <c r="BE88" t="n">
        <v>1</v>
      </c>
      <c r="BG88" t="n">
        <v>1</v>
      </c>
      <c r="BJ88" t="n">
        <v>0</v>
      </c>
      <c r="BT88" t="n">
        <v>0</v>
      </c>
      <c r="BV88" t="n">
        <v>0</v>
      </c>
      <c r="BX88" t="n">
        <v>0</v>
      </c>
      <c r="BZ88" s="98" t="n">
        <v>2</v>
      </c>
      <c r="CA88" t="n">
        <v>6</v>
      </c>
      <c r="CB88" t="n">
        <v>8</v>
      </c>
      <c r="CC88" t="n">
        <v>0</v>
      </c>
      <c r="CD88" t="n">
        <v>2</v>
      </c>
      <c r="CE88" t="n">
        <v>2</v>
      </c>
      <c r="CF88" t="n">
        <v>0</v>
      </c>
      <c r="CG88" t="n">
        <v>66</v>
      </c>
      <c r="CH88" t="n">
        <v>8</v>
      </c>
      <c r="CI88" t="n">
        <v>68</v>
      </c>
      <c r="CJ88" s="7" t="n">
        <v>74</v>
      </c>
    </row>
    <row r="89">
      <c r="A89" t="inlineStr">
        <is>
          <t>Verino Roberto</t>
        </is>
      </c>
      <c r="B89" t="inlineStr">
        <is>
          <t>M</t>
        </is>
      </c>
      <c r="C89" t="n">
        <v>117</v>
      </c>
      <c r="E89" t="n">
        <v>0</v>
      </c>
      <c r="F89" t="n">
        <v>0</v>
      </c>
      <c r="H89" t="n">
        <v>0</v>
      </c>
      <c r="O89" s="92" t="n">
        <v>0</v>
      </c>
      <c r="T89" t="n">
        <v>0</v>
      </c>
      <c r="Y89" s="98" t="n">
        <v>0</v>
      </c>
      <c r="Z89" t="n">
        <v>0</v>
      </c>
      <c r="AA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O89" t="n">
        <v>0</v>
      </c>
      <c r="AP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0</v>
      </c>
      <c r="BB89" t="n">
        <v>0</v>
      </c>
      <c r="BC89" s="60" t="inlineStr">
        <is>
          <t xml:space="preserve"> </t>
        </is>
      </c>
      <c r="BZ89" s="98" t="n">
        <v>25</v>
      </c>
      <c r="CA89" t="n">
        <v>0</v>
      </c>
      <c r="CB89" t="n">
        <v>25</v>
      </c>
      <c r="CC89" t="n">
        <v>1</v>
      </c>
      <c r="CD89" t="n">
        <v>0</v>
      </c>
      <c r="CE89" t="n">
        <v>1</v>
      </c>
      <c r="CF89" t="n">
        <v>5</v>
      </c>
      <c r="CG89" t="n">
        <v>117</v>
      </c>
      <c r="CH89" t="n">
        <v>30</v>
      </c>
      <c r="CI89" t="n">
        <v>118</v>
      </c>
      <c r="CJ89" s="7" t="n">
        <v>147</v>
      </c>
    </row>
    <row r="90">
      <c r="A90" s="92" t="inlineStr">
        <is>
          <t>Wernz, Tobias</t>
        </is>
      </c>
      <c r="C90" s="92" t="inlineStr">
        <is>
          <t>fehlt</t>
        </is>
      </c>
      <c r="O90" s="92" t="n"/>
      <c r="Y90" s="98" t="inlineStr">
        <is>
          <t xml:space="preserve"> </t>
        </is>
      </c>
      <c r="BC90" s="60" t="inlineStr">
        <is>
          <t xml:space="preserve"> </t>
        </is>
      </c>
      <c r="BY90" t="n">
        <v>0</v>
      </c>
      <c r="BZ90" s="98" t="n">
        <v>0</v>
      </c>
      <c r="CA90" t="n">
        <v>1</v>
      </c>
      <c r="CB90" t="n">
        <v>1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0</v>
      </c>
      <c r="CJ90" s="7" t="e">
        <v>#VALUE!</v>
      </c>
    </row>
    <row r="91">
      <c r="A91" t="inlineStr">
        <is>
          <t>Zehnder Matze</t>
        </is>
      </c>
      <c r="B91" t="inlineStr">
        <is>
          <t>M</t>
        </is>
      </c>
      <c r="C91" t="n">
        <v>82</v>
      </c>
      <c r="Y91" s="98" t="inlineStr">
        <is>
          <t xml:space="preserve"> </t>
        </is>
      </c>
      <c r="BC91" s="60" t="inlineStr">
        <is>
          <t xml:space="preserve"> </t>
        </is>
      </c>
      <c r="BZ91" s="98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82</v>
      </c>
      <c r="CH91" t="n">
        <v>0</v>
      </c>
      <c r="CI91" t="n">
        <v>82</v>
      </c>
      <c r="CJ91" s="7" t="n">
        <v>82</v>
      </c>
    </row>
    <row r="92">
      <c r="Y92" s="98" t="inlineStr">
        <is>
          <t xml:space="preserve"> </t>
        </is>
      </c>
      <c r="BC92" s="60" t="inlineStr">
        <is>
          <t xml:space="preserve"> </t>
        </is>
      </c>
      <c r="BZ92" s="98" t="inlineStr">
        <is>
          <t xml:space="preserve"> </t>
        </is>
      </c>
    </row>
    <row r="93">
      <c r="A93" s="10" t="inlineStr">
        <is>
          <t>Anzahl Spieler</t>
        </is>
      </c>
      <c r="B93" s="10" t="inlineStr">
        <is>
          <t xml:space="preserve"> </t>
        </is>
      </c>
      <c r="C93" s="11" t="inlineStr">
        <is>
          <t xml:space="preserve"> </t>
        </is>
      </c>
      <c r="D93" s="10" t="n">
        <v>0</v>
      </c>
      <c r="E93" s="10" t="n">
        <v>19</v>
      </c>
      <c r="F93" s="10" t="n">
        <v>17</v>
      </c>
      <c r="G93" s="10" t="n">
        <v>0</v>
      </c>
      <c r="H93" s="10" t="n">
        <v>16</v>
      </c>
      <c r="I93" s="10" t="inlineStr">
        <is>
          <t xml:space="preserve"> </t>
        </is>
      </c>
      <c r="J93" s="10" t="inlineStr">
        <is>
          <t xml:space="preserve"> </t>
        </is>
      </c>
      <c r="K93" s="10" t="inlineStr">
        <is>
          <t xml:space="preserve"> </t>
        </is>
      </c>
      <c r="L93" s="10" t="inlineStr">
        <is>
          <t xml:space="preserve"> </t>
        </is>
      </c>
      <c r="M93" s="10" t="inlineStr">
        <is>
          <t xml:space="preserve"> </t>
        </is>
      </c>
      <c r="N93" s="10" t="n">
        <v>0</v>
      </c>
      <c r="O93" s="10" t="n">
        <v>15</v>
      </c>
      <c r="P93" s="10" t="inlineStr">
        <is>
          <t xml:space="preserve"> </t>
        </is>
      </c>
      <c r="Q93" s="10" t="n">
        <v>0</v>
      </c>
      <c r="R93" s="10" t="n">
        <v>0</v>
      </c>
      <c r="S93" s="10" t="n">
        <v>0</v>
      </c>
      <c r="T93" s="10" t="n">
        <v>14</v>
      </c>
      <c r="U93" s="10" t="n">
        <v>0</v>
      </c>
      <c r="V93" s="10" t="inlineStr">
        <is>
          <t xml:space="preserve"> </t>
        </is>
      </c>
      <c r="W93" s="10" t="n">
        <v>0</v>
      </c>
      <c r="X93" s="11" t="inlineStr">
        <is>
          <t xml:space="preserve"> </t>
        </is>
      </c>
      <c r="Y93" s="10" t="n">
        <v>14</v>
      </c>
      <c r="Z93" s="10" t="n">
        <v>14</v>
      </c>
      <c r="AA93" s="10" t="n">
        <v>13</v>
      </c>
      <c r="AB93" s="10" t="n">
        <v>0</v>
      </c>
      <c r="AC93" s="10" t="n">
        <v>15</v>
      </c>
      <c r="AD93" s="10" t="n">
        <v>14</v>
      </c>
      <c r="AE93" s="10" t="n">
        <v>14</v>
      </c>
      <c r="AF93" s="10" t="n">
        <v>14</v>
      </c>
      <c r="AG93" s="10" t="n">
        <v>13</v>
      </c>
      <c r="AH93" s="10" t="n">
        <v>13</v>
      </c>
      <c r="AI93" s="10" t="n">
        <v>14</v>
      </c>
      <c r="AJ93" s="10" t="n">
        <v>14</v>
      </c>
      <c r="AK93" s="10" t="n">
        <v>14</v>
      </c>
      <c r="AL93" s="10" t="n">
        <v>15</v>
      </c>
      <c r="AM93" s="10" t="n">
        <v>14</v>
      </c>
      <c r="AN93" s="10" t="n">
        <v>13</v>
      </c>
      <c r="AO93" s="10" t="n">
        <v>14</v>
      </c>
      <c r="AP93" s="10" t="n">
        <v>13</v>
      </c>
      <c r="AQ93" s="10" t="n">
        <v>0</v>
      </c>
      <c r="AR93" s="10" t="n">
        <v>13</v>
      </c>
      <c r="AS93" s="10" t="n">
        <v>14</v>
      </c>
      <c r="AT93" s="10" t="n">
        <v>13</v>
      </c>
      <c r="AU93" s="10" t="n">
        <v>15</v>
      </c>
      <c r="AV93" s="10" t="n">
        <v>14</v>
      </c>
      <c r="AW93" s="10" t="n">
        <v>15</v>
      </c>
      <c r="AX93" s="10" t="n">
        <v>12</v>
      </c>
      <c r="AY93" s="10" t="n">
        <v>13</v>
      </c>
      <c r="AZ93" s="10" t="n">
        <v>15</v>
      </c>
      <c r="BA93" s="10" t="n">
        <v>14</v>
      </c>
      <c r="BB93" s="10" t="n">
        <v>13</v>
      </c>
      <c r="BC93" s="70" t="n">
        <v>0</v>
      </c>
      <c r="BD93" s="10" t="n">
        <v>14</v>
      </c>
      <c r="BE93" s="10" t="n">
        <v>15</v>
      </c>
      <c r="BF93" s="10" t="n">
        <v>14</v>
      </c>
      <c r="BG93" s="10" t="n">
        <v>14</v>
      </c>
      <c r="BH93" s="10" t="n">
        <v>15</v>
      </c>
      <c r="BI93" s="10" t="n">
        <v>15</v>
      </c>
      <c r="BJ93" s="10" t="n">
        <v>15</v>
      </c>
      <c r="BK93" s="10" t="n">
        <v>12</v>
      </c>
      <c r="BL93" s="10" t="n">
        <v>14</v>
      </c>
      <c r="BM93" s="10" t="n">
        <v>15</v>
      </c>
      <c r="BN93" s="10" t="n">
        <v>13</v>
      </c>
      <c r="BO93" s="10" t="n">
        <v>14</v>
      </c>
      <c r="BP93" s="10" t="n">
        <v>15</v>
      </c>
      <c r="BQ93" s="10" t="n">
        <v>15</v>
      </c>
      <c r="BR93" s="10" t="n">
        <v>14</v>
      </c>
      <c r="BS93" s="10" t="n">
        <v>15</v>
      </c>
      <c r="BT93" s="10" t="n">
        <v>14</v>
      </c>
      <c r="BU93" s="10" t="n">
        <v>15</v>
      </c>
      <c r="BV93" s="10" t="n">
        <v>13</v>
      </c>
      <c r="BW93" s="10" t="inlineStr">
        <is>
          <t xml:space="preserve"> </t>
        </is>
      </c>
      <c r="BX93" s="10" t="inlineStr">
        <is>
          <t xml:space="preserve"> </t>
        </is>
      </c>
      <c r="BY93" s="10" t="n">
        <v>12</v>
      </c>
      <c r="BZ93" s="47" t="inlineStr">
        <is>
          <t xml:space="preserve"> </t>
        </is>
      </c>
      <c r="CA93" s="10" t="inlineStr">
        <is>
          <t xml:space="preserve"> </t>
        </is>
      </c>
      <c r="CB93" s="10" t="inlineStr">
        <is>
          <t xml:space="preserve"> </t>
        </is>
      </c>
      <c r="CC93" s="10" t="inlineStr">
        <is>
          <t xml:space="preserve"> </t>
        </is>
      </c>
      <c r="CD93" s="10" t="inlineStr">
        <is>
          <t xml:space="preserve"> </t>
        </is>
      </c>
      <c r="CE93" s="10" t="inlineStr">
        <is>
          <t xml:space="preserve"> </t>
        </is>
      </c>
      <c r="CF93" s="10" t="inlineStr">
        <is>
          <t xml:space="preserve"> </t>
        </is>
      </c>
      <c r="CG93" s="10" t="inlineStr">
        <is>
          <t xml:space="preserve"> </t>
        </is>
      </c>
      <c r="CH93" s="10" t="inlineStr">
        <is>
          <t xml:space="preserve"> </t>
        </is>
      </c>
      <c r="CI93" s="10" t="inlineStr">
        <is>
          <t xml:space="preserve"> </t>
        </is>
      </c>
      <c r="CJ93" s="10" t="inlineStr">
        <is>
          <t xml:space="preserve"> </t>
        </is>
      </c>
    </row>
    <row r="94">
      <c r="A94" s="8" t="inlineStr">
        <is>
          <t>Anzahl Tore</t>
        </is>
      </c>
      <c r="B94" s="8" t="inlineStr">
        <is>
          <t xml:space="preserve"> </t>
        </is>
      </c>
      <c r="C94" s="9" t="inlineStr">
        <is>
          <t xml:space="preserve"> </t>
        </is>
      </c>
      <c r="D94" s="8" t="n">
        <v>0</v>
      </c>
      <c r="E94" s="8" t="n">
        <v>0</v>
      </c>
      <c r="F94" s="8" t="n">
        <v>4</v>
      </c>
      <c r="G94" s="8" t="n">
        <v>3</v>
      </c>
      <c r="H94" s="8" t="n">
        <v>0</v>
      </c>
      <c r="I94" s="8" t="inlineStr">
        <is>
          <t xml:space="preserve"> </t>
        </is>
      </c>
      <c r="J94" s="8" t="inlineStr">
        <is>
          <t xml:space="preserve"> </t>
        </is>
      </c>
      <c r="K94" s="8" t="inlineStr">
        <is>
          <t xml:space="preserve"> </t>
        </is>
      </c>
      <c r="L94" s="8" t="inlineStr">
        <is>
          <t xml:space="preserve"> </t>
        </is>
      </c>
      <c r="M94" s="8" t="inlineStr">
        <is>
          <t xml:space="preserve"> </t>
        </is>
      </c>
      <c r="N94" s="8" t="n">
        <v>3</v>
      </c>
      <c r="O94" s="8" t="n">
        <v>0</v>
      </c>
      <c r="P94" s="8" t="inlineStr">
        <is>
          <t xml:space="preserve"> </t>
        </is>
      </c>
      <c r="Q94" s="8" t="n">
        <v>0</v>
      </c>
      <c r="R94" s="8" t="n">
        <v>0</v>
      </c>
      <c r="S94" s="8" t="n">
        <v>0</v>
      </c>
      <c r="T94" s="8" t="n">
        <v>3</v>
      </c>
      <c r="U94" s="8" t="n">
        <v>0</v>
      </c>
      <c r="V94" s="8" t="inlineStr">
        <is>
          <t xml:space="preserve"> </t>
        </is>
      </c>
      <c r="W94" s="8" t="n">
        <v>0</v>
      </c>
      <c r="X94" s="8" t="inlineStr">
        <is>
          <t xml:space="preserve"> </t>
        </is>
      </c>
      <c r="Y94" s="48" t="n">
        <v>0</v>
      </c>
      <c r="Z94" s="8" t="n">
        <v>2</v>
      </c>
      <c r="AA94" s="8" t="n">
        <v>0</v>
      </c>
      <c r="AB94" s="8" t="n">
        <v>0</v>
      </c>
      <c r="AC94" s="8" t="n">
        <v>3</v>
      </c>
      <c r="AD94" s="8" t="n">
        <v>2</v>
      </c>
      <c r="AE94" s="8" t="n">
        <v>2</v>
      </c>
      <c r="AF94" s="8" t="n">
        <v>3</v>
      </c>
      <c r="AG94" s="8" t="n">
        <v>1</v>
      </c>
      <c r="AH94" s="8" t="n">
        <v>2</v>
      </c>
      <c r="AI94" s="8" t="n">
        <v>1</v>
      </c>
      <c r="AJ94" s="8" t="n">
        <v>2</v>
      </c>
      <c r="AK94" s="8" t="n">
        <v>3</v>
      </c>
      <c r="AL94" s="8" t="n">
        <v>3</v>
      </c>
      <c r="AM94" s="8" t="n">
        <v>2</v>
      </c>
      <c r="AN94" s="8" t="n">
        <v>1</v>
      </c>
      <c r="AO94" s="8" t="n">
        <v>1</v>
      </c>
      <c r="AP94" s="8" t="n">
        <v>3</v>
      </c>
      <c r="AQ94" s="8" t="n">
        <v>0</v>
      </c>
      <c r="AR94" s="8" t="n">
        <v>1</v>
      </c>
      <c r="AS94" s="8" t="n">
        <v>1</v>
      </c>
      <c r="AT94" s="8" t="n">
        <v>0</v>
      </c>
      <c r="AU94" s="8" t="n">
        <v>2</v>
      </c>
      <c r="AV94" s="8" t="n">
        <v>4</v>
      </c>
      <c r="AW94" s="8" t="n">
        <v>5</v>
      </c>
      <c r="AX94" s="8" t="n">
        <v>0</v>
      </c>
      <c r="AY94" s="8" t="n">
        <v>3</v>
      </c>
      <c r="AZ94" s="8" t="inlineStr">
        <is>
          <t xml:space="preserve"> </t>
        </is>
      </c>
      <c r="BA94" s="8" t="inlineStr">
        <is>
          <t xml:space="preserve"> </t>
        </is>
      </c>
      <c r="BB94" s="8" t="inlineStr">
        <is>
          <t xml:space="preserve"> </t>
        </is>
      </c>
      <c r="BC94" s="71" t="n">
        <v>0</v>
      </c>
      <c r="BD94" s="8" t="n">
        <v>7</v>
      </c>
      <c r="BE94" s="8" t="n">
        <v>9</v>
      </c>
      <c r="BF94" s="8" t="n">
        <v>2</v>
      </c>
      <c r="BG94" s="8" t="n">
        <v>2</v>
      </c>
      <c r="BH94" s="8" t="n">
        <v>6</v>
      </c>
      <c r="BI94" s="8" t="n">
        <v>3</v>
      </c>
      <c r="BJ94" s="8" t="n">
        <v>3</v>
      </c>
      <c r="BK94" s="8" t="n">
        <v>8</v>
      </c>
      <c r="BL94" s="8" t="n">
        <v>0</v>
      </c>
      <c r="BM94" s="8" t="n">
        <v>1</v>
      </c>
      <c r="BN94" s="8" t="n">
        <v>0</v>
      </c>
      <c r="BO94" s="8" t="n">
        <v>1</v>
      </c>
      <c r="BP94" s="8" t="n">
        <v>1</v>
      </c>
      <c r="BQ94" s="8" t="n">
        <v>6</v>
      </c>
      <c r="BR94" s="8" t="n">
        <v>1</v>
      </c>
      <c r="BS94" s="8" t="n">
        <v>6</v>
      </c>
      <c r="BT94" s="8" t="n">
        <v>1</v>
      </c>
      <c r="BU94" s="8" t="n">
        <v>2</v>
      </c>
      <c r="BV94" s="8" t="n">
        <v>6</v>
      </c>
      <c r="BW94" s="8" t="inlineStr">
        <is>
          <t xml:space="preserve"> </t>
        </is>
      </c>
      <c r="BX94" s="8" t="inlineStr">
        <is>
          <t xml:space="preserve"> </t>
        </is>
      </c>
      <c r="BY94" s="8" t="n">
        <v>0</v>
      </c>
      <c r="BZ94" s="48" t="inlineStr">
        <is>
          <t xml:space="preserve"> </t>
        </is>
      </c>
      <c r="CA94" s="8" t="inlineStr">
        <is>
          <t xml:space="preserve"> </t>
        </is>
      </c>
      <c r="CB94" s="8" t="inlineStr">
        <is>
          <t xml:space="preserve"> </t>
        </is>
      </c>
      <c r="CC94" s="8" t="n">
        <v>47</v>
      </c>
      <c r="CD94" s="8" t="n">
        <v>75</v>
      </c>
      <c r="CE94" s="8" t="n">
        <v>118</v>
      </c>
      <c r="CF94" s="8" t="inlineStr">
        <is>
          <t xml:space="preserve"> </t>
        </is>
      </c>
      <c r="CG94" s="8" t="n">
        <v>11260</v>
      </c>
      <c r="CH94" s="8" t="inlineStr">
        <is>
          <t xml:space="preserve"> </t>
        </is>
      </c>
      <c r="CI94" s="8" t="n">
        <v>11378</v>
      </c>
      <c r="CJ94" s="8" t="inlineStr">
        <is>
          <t xml:space="preserve"> </t>
        </is>
      </c>
    </row>
    <row r="97">
      <c r="A97" t="inlineStr">
        <is>
          <t xml:space="preserve"> </t>
        </is>
      </c>
    </row>
    <row r="98">
      <c r="CB98" s="92" t="inlineStr">
        <is>
          <t xml:space="preserve"> </t>
        </is>
      </c>
    </row>
  </sheetData>
  <mergeCells count="8">
    <mergeCell ref="A2:A4"/>
    <mergeCell ref="T2:X2"/>
    <mergeCell ref="C2:C4"/>
    <mergeCell ref="BZ2:CJ2"/>
    <mergeCell ref="Y2:BY2"/>
    <mergeCell ref="B2:B4"/>
    <mergeCell ref="E1:CJ1"/>
    <mergeCell ref="D2:S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Tabelle1">
    <outlinePr summaryBelow="1" summaryRight="1"/>
    <pageSetUpPr fitToPage="1"/>
  </sheetPr>
  <dimension ref="A1:G60"/>
  <sheetViews>
    <sheetView view="pageBreakPreview" zoomScale="70" zoomScaleNormal="25" zoomScaleSheetLayoutView="70" workbookViewId="0">
      <pane xSplit="3" ySplit="2" topLeftCell="D3" activePane="bottomRight" state="frozen"/>
      <selection pane="topRight" activeCell="C1" sqref="C1"/>
      <selection pane="bottomLeft" activeCell="A7" sqref="A7"/>
      <selection pane="bottomRight" activeCell="C1" sqref="C1"/>
    </sheetView>
  </sheetViews>
  <sheetFormatPr baseColWidth="10" defaultColWidth="9.140625" defaultRowHeight="12.75"/>
  <cols>
    <col width="18.42578125" customWidth="1" style="91" min="1" max="1"/>
    <col width="4.140625" customWidth="1" style="91" min="2" max="2"/>
    <col width="5.42578125" customWidth="1" style="91" min="3" max="3"/>
    <col width="10.7109375" customWidth="1" style="91" min="4" max="6"/>
    <col width="35.42578125" customWidth="1" style="91" min="7" max="7"/>
    <col width="5.85546875" bestFit="1" customWidth="1" style="91" min="8" max="8"/>
    <col width="5.85546875" customWidth="1" style="91" min="9" max="9"/>
    <col width="5.42578125" bestFit="1" customWidth="1" style="91" min="10" max="10"/>
  </cols>
  <sheetData>
    <row r="1" ht="36.75" customHeight="1" s="91">
      <c r="E1" s="99" t="inlineStr">
        <is>
          <t>Saison 21/22</t>
        </is>
      </c>
    </row>
    <row r="2" ht="79.5" customHeight="1" s="91">
      <c r="A2" s="8" t="n"/>
      <c r="B2" s="8" t="n"/>
      <c r="C2" s="9" t="n"/>
      <c r="D2" s="2" t="inlineStr">
        <is>
          <t>Punktspiel</t>
        </is>
      </c>
      <c r="E2" s="2" t="inlineStr">
        <is>
          <t>Pokalspiele</t>
        </is>
      </c>
      <c r="F2" s="2" t="inlineStr">
        <is>
          <t>Freundschaftsspiele</t>
        </is>
      </c>
      <c r="G2" s="6" t="inlineStr">
        <is>
          <t>Spiele gesamt</t>
        </is>
      </c>
    </row>
    <row r="3" ht="12.75" customHeight="1" s="91">
      <c r="A3" s="92" t="inlineStr">
        <is>
          <t>Auber, Manuel</t>
        </is>
      </c>
      <c r="C3" t="n">
        <v>42</v>
      </c>
      <c r="D3" s="3" t="n">
        <v>7</v>
      </c>
      <c r="E3" s="3" t="n">
        <v>1</v>
      </c>
      <c r="F3" s="3" t="n">
        <v>2</v>
      </c>
      <c r="G3" s="7">
        <f>C3+D3+E3+F3</f>
        <v/>
      </c>
    </row>
    <row r="4" ht="12.75" customHeight="1" s="91">
      <c r="A4" s="92" t="inlineStr">
        <is>
          <t>Aubel, Daniel</t>
        </is>
      </c>
      <c r="C4" t="n">
        <v>0</v>
      </c>
      <c r="D4" s="3" t="n">
        <v>20</v>
      </c>
      <c r="E4" s="3" t="n">
        <v>1</v>
      </c>
      <c r="F4" s="3" t="n">
        <v>4</v>
      </c>
      <c r="G4" s="7">
        <f>C4+D4+E4+F4</f>
        <v/>
      </c>
    </row>
    <row r="5" ht="12.75" customHeight="1" s="91">
      <c r="A5" s="92" t="inlineStr">
        <is>
          <t>Auber, David</t>
        </is>
      </c>
      <c r="C5" t="n">
        <v>0</v>
      </c>
      <c r="D5" s="3" t="n">
        <v>14</v>
      </c>
      <c r="E5" s="3" t="n">
        <v>1</v>
      </c>
      <c r="F5" s="3" t="n">
        <v>2</v>
      </c>
      <c r="G5" s="7">
        <f>C5+D5+E5+F5</f>
        <v/>
      </c>
    </row>
    <row r="6" ht="12.75" customHeight="1" s="91">
      <c r="A6" s="92" t="inlineStr">
        <is>
          <t>Bea, Marc</t>
        </is>
      </c>
      <c r="C6" t="n">
        <v>17</v>
      </c>
      <c r="D6" s="3" t="n">
        <v>14</v>
      </c>
      <c r="E6" s="3" t="n">
        <v>1</v>
      </c>
      <c r="F6" s="3" t="n">
        <v>3</v>
      </c>
      <c r="G6" s="7">
        <f>C6+D6+E6+F6</f>
        <v/>
      </c>
    </row>
    <row r="7" ht="12.75" customHeight="1" s="91">
      <c r="A7" t="inlineStr">
        <is>
          <t>Benner, Florian</t>
        </is>
      </c>
      <c r="B7" t="inlineStr">
        <is>
          <t>M</t>
        </is>
      </c>
      <c r="C7" t="n">
        <v>113</v>
      </c>
      <c r="D7" s="3" t="n">
        <v>18</v>
      </c>
      <c r="E7" s="3" t="n">
        <v>3</v>
      </c>
      <c r="F7" s="3" t="n">
        <v>4</v>
      </c>
      <c r="G7" s="7">
        <f>C7+D7+E7+F7</f>
        <v/>
      </c>
    </row>
    <row r="8" ht="12.75" customHeight="1" s="91">
      <c r="A8" t="inlineStr">
        <is>
          <t>Binnig Andre</t>
        </is>
      </c>
      <c r="B8" t="inlineStr">
        <is>
          <t>L</t>
        </is>
      </c>
      <c r="C8" t="n">
        <v>208</v>
      </c>
      <c r="D8" s="3" t="n">
        <v>19</v>
      </c>
      <c r="E8" s="3" t="n">
        <v>1</v>
      </c>
      <c r="F8" s="3" t="n">
        <v>6</v>
      </c>
      <c r="G8" s="7">
        <f>C8+D8+E8+F8</f>
        <v/>
      </c>
    </row>
    <row r="9" ht="14.25" customHeight="1" s="91">
      <c r="A9" t="inlineStr">
        <is>
          <t>Bosch M.</t>
        </is>
      </c>
      <c r="B9" t="inlineStr">
        <is>
          <t>L</t>
        </is>
      </c>
      <c r="C9" t="n">
        <v>515</v>
      </c>
      <c r="D9" s="3" t="n">
        <v>13</v>
      </c>
      <c r="E9" s="3" t="n"/>
      <c r="F9" s="3" t="n">
        <v>2</v>
      </c>
      <c r="G9" s="7">
        <f>C9+D9+E9+F9</f>
        <v/>
      </c>
    </row>
    <row r="10" ht="14.25" customHeight="1" s="91">
      <c r="A10" t="inlineStr">
        <is>
          <t>Broghammer Marcel</t>
        </is>
      </c>
      <c r="C10" t="n">
        <v>18</v>
      </c>
      <c r="D10" s="3" t="n">
        <v>28</v>
      </c>
      <c r="E10" s="3" t="n">
        <v>2</v>
      </c>
      <c r="F10" s="3" t="n">
        <v>8</v>
      </c>
      <c r="G10" s="7">
        <f>C10+D10+E10+F10</f>
        <v/>
      </c>
    </row>
    <row r="11" ht="12.75" customFormat="1" customHeight="1" s="4">
      <c r="A11" s="4" t="inlineStr">
        <is>
          <t>Dold Markus</t>
        </is>
      </c>
      <c r="B11" s="4" t="inlineStr">
        <is>
          <t>M</t>
        </is>
      </c>
      <c r="C11" s="4" t="n">
        <v>225</v>
      </c>
      <c r="D11" s="12" t="n">
        <v>24</v>
      </c>
      <c r="E11" s="12" t="n">
        <v>3</v>
      </c>
      <c r="F11" s="12" t="n">
        <v>8</v>
      </c>
      <c r="G11" s="5">
        <f>C11+D11+E11+F11</f>
        <v/>
      </c>
    </row>
    <row r="12" ht="14.25" customFormat="1" customHeight="1" s="4">
      <c r="A12" t="inlineStr">
        <is>
          <t>Ebert M.</t>
        </is>
      </c>
      <c r="B12" t="inlineStr">
        <is>
          <t>M</t>
        </is>
      </c>
      <c r="C12" t="n">
        <v>354</v>
      </c>
      <c r="D12" s="3" t="n">
        <v>19</v>
      </c>
      <c r="E12" s="3" t="n">
        <v>2</v>
      </c>
      <c r="F12" s="3" t="n">
        <v>8</v>
      </c>
      <c r="G12" s="7">
        <f>C12+D12+E12+F12</f>
        <v/>
      </c>
    </row>
    <row r="13">
      <c r="A13" t="inlineStr">
        <is>
          <t>Flaig Elias</t>
        </is>
      </c>
      <c r="C13" t="n">
        <v>92</v>
      </c>
      <c r="D13" s="3" t="n">
        <v>1</v>
      </c>
      <c r="E13" s="3" t="n">
        <v>1</v>
      </c>
      <c r="F13" s="3" t="n">
        <v>3</v>
      </c>
      <c r="G13" s="7">
        <f>C13+D13+E13+F13</f>
        <v/>
      </c>
    </row>
    <row r="14" ht="14.25" customHeight="1" s="91">
      <c r="A14" t="inlineStr">
        <is>
          <t>Flaig Tim</t>
        </is>
      </c>
      <c r="C14" t="n">
        <v>0</v>
      </c>
      <c r="D14" s="3" t="n">
        <v>28</v>
      </c>
      <c r="E14" s="3" t="n">
        <v>3</v>
      </c>
      <c r="F14" s="3" t="n">
        <v>7</v>
      </c>
      <c r="G14" s="7">
        <f>C14+D14+E14+F14</f>
        <v/>
      </c>
    </row>
    <row r="15" ht="14.25" customHeight="1" s="91">
      <c r="A15" t="inlineStr">
        <is>
          <t>Fleig Maximilian</t>
        </is>
      </c>
      <c r="C15" t="n">
        <v>81</v>
      </c>
      <c r="D15" s="3" t="n">
        <v>20</v>
      </c>
      <c r="E15" s="3" t="n">
        <v>1</v>
      </c>
      <c r="F15" s="3" t="n">
        <v>10</v>
      </c>
      <c r="G15" s="7">
        <f>C15+D15+E15+F15</f>
        <v/>
      </c>
    </row>
    <row r="16" ht="14.25" customFormat="1" customHeight="1" s="4">
      <c r="A16" t="inlineStr">
        <is>
          <t>Günter Ralf</t>
        </is>
      </c>
      <c r="B16" t="inlineStr">
        <is>
          <t>L</t>
        </is>
      </c>
      <c r="C16" t="n">
        <v>257</v>
      </c>
      <c r="D16" s="3" t="n">
        <v>24</v>
      </c>
      <c r="E16" s="3" t="n">
        <v>1</v>
      </c>
      <c r="F16" s="3" t="n">
        <v>1</v>
      </c>
      <c r="G16" s="7">
        <f>C16+D16+E16+F16</f>
        <v/>
      </c>
    </row>
    <row r="17" ht="14.25" customFormat="1" customHeight="1" s="4">
      <c r="A17" s="4" t="inlineStr">
        <is>
          <t>Haberstroh Raphael</t>
        </is>
      </c>
      <c r="B17" s="4" t="inlineStr">
        <is>
          <t>M</t>
        </is>
      </c>
      <c r="C17" s="4" t="n">
        <v>289</v>
      </c>
      <c r="D17" s="12" t="n">
        <v>13</v>
      </c>
      <c r="E17" s="12" t="n">
        <v>1</v>
      </c>
      <c r="F17" s="12" t="n">
        <v>5</v>
      </c>
      <c r="G17" s="5">
        <f>C17+D17+E17+F17</f>
        <v/>
      </c>
    </row>
    <row r="18" ht="14.25" customHeight="1" s="91">
      <c r="A18" s="92" t="inlineStr">
        <is>
          <t>Hauser Marcel</t>
        </is>
      </c>
      <c r="B18" s="92" t="inlineStr">
        <is>
          <t>L</t>
        </is>
      </c>
      <c r="C18" t="n">
        <v>108</v>
      </c>
      <c r="D18" s="3" t="n">
        <v>14</v>
      </c>
      <c r="E18" s="3" t="n">
        <v>1</v>
      </c>
      <c r="F18" s="3" t="n">
        <v>10</v>
      </c>
      <c r="G18" s="7">
        <f>C18+D18+E18+F18</f>
        <v/>
      </c>
    </row>
    <row r="19" ht="14.25" customHeight="1" s="91">
      <c r="A19" s="92" t="inlineStr">
        <is>
          <t>Hornberger Christian</t>
        </is>
      </c>
      <c r="B19" s="92" t="n"/>
      <c r="C19" t="n">
        <v>66</v>
      </c>
      <c r="D19" s="3" t="n">
        <v>24</v>
      </c>
      <c r="E19" s="3" t="n">
        <v>3</v>
      </c>
      <c r="F19" s="3" t="n">
        <v>9</v>
      </c>
      <c r="G19" s="7">
        <f>C19+D19+E19+F19</f>
        <v/>
      </c>
    </row>
    <row r="20">
      <c r="A20" s="92" t="inlineStr">
        <is>
          <t>Jawadi, Ahmad</t>
        </is>
      </c>
      <c r="B20" s="92" t="n"/>
      <c r="C20" t="n">
        <v>34</v>
      </c>
      <c r="D20" s="3" t="n"/>
      <c r="E20" s="3" t="n">
        <v>2</v>
      </c>
      <c r="F20" s="3" t="n">
        <v>3</v>
      </c>
      <c r="G20" s="7">
        <f>C20+D20+E20+F20</f>
        <v/>
      </c>
    </row>
    <row r="21">
      <c r="A21" s="92" t="inlineStr">
        <is>
          <t>Jauch Joachim</t>
        </is>
      </c>
      <c r="B21" s="92" t="n"/>
      <c r="C21" t="n">
        <v>366</v>
      </c>
      <c r="D21" s="3" t="n">
        <v>2</v>
      </c>
      <c r="E21" s="3" t="n">
        <v>1</v>
      </c>
      <c r="F21" s="3" t="n"/>
      <c r="G21" s="7">
        <f>C21+D21+E21+F21</f>
        <v/>
      </c>
    </row>
    <row r="22" ht="14.25" customHeight="1" s="91">
      <c r="A22" s="92" t="inlineStr">
        <is>
          <t>Katzer Florian</t>
        </is>
      </c>
      <c r="B22" s="92" t="n"/>
      <c r="C22" t="n">
        <v>0</v>
      </c>
      <c r="D22" s="3" t="n">
        <v>13</v>
      </c>
      <c r="E22" s="3" t="n">
        <v>1</v>
      </c>
      <c r="F22" s="3" t="n">
        <v>3</v>
      </c>
      <c r="G22" s="7">
        <f>C22+D22+E22+F22</f>
        <v/>
      </c>
    </row>
    <row r="23">
      <c r="A23" t="inlineStr">
        <is>
          <t>Kimmich Simeon</t>
        </is>
      </c>
      <c r="C23" t="n">
        <v>78</v>
      </c>
      <c r="D23" s="3" t="n">
        <v>8</v>
      </c>
      <c r="E23" s="3" t="n">
        <v>1</v>
      </c>
      <c r="F23" s="3" t="n">
        <v>4</v>
      </c>
      <c r="G23" s="7">
        <f>C23+D23+E23+F23</f>
        <v/>
      </c>
    </row>
    <row r="24" ht="14.25" customHeight="1" s="91">
      <c r="A24" s="92" t="inlineStr">
        <is>
          <t>Kuner Andreas</t>
        </is>
      </c>
      <c r="C24" t="n">
        <v>62</v>
      </c>
      <c r="D24" s="3" t="n">
        <v>17</v>
      </c>
      <c r="E24" s="3" t="n">
        <v>3</v>
      </c>
      <c r="F24" s="3" t="n">
        <v>3</v>
      </c>
      <c r="G24" s="7">
        <f>C24+D24+E24+F24</f>
        <v/>
      </c>
    </row>
    <row r="25">
      <c r="A25" s="92" t="inlineStr">
        <is>
          <t>Kobel Michael</t>
        </is>
      </c>
      <c r="C25" t="n">
        <v>13</v>
      </c>
      <c r="D25" s="3" t="n">
        <v>8</v>
      </c>
      <c r="E25" s="3" t="n"/>
      <c r="F25" s="3" t="n">
        <v>1</v>
      </c>
      <c r="G25" s="7">
        <f>C25+D25+E25+F25</f>
        <v/>
      </c>
    </row>
    <row r="26" ht="14.25" customFormat="1" customHeight="1" s="4">
      <c r="A26" s="4" t="inlineStr">
        <is>
          <t>Klein Daniel</t>
        </is>
      </c>
      <c r="B26" s="4" t="inlineStr">
        <is>
          <t>M</t>
        </is>
      </c>
      <c r="C26" s="4" t="n">
        <v>330</v>
      </c>
      <c r="D26" s="12" t="n">
        <v>27</v>
      </c>
      <c r="E26" s="12" t="n">
        <v>2</v>
      </c>
      <c r="F26" s="12" t="n">
        <v>9</v>
      </c>
      <c r="G26" s="5">
        <f>C26+D26+E26+F26</f>
        <v/>
      </c>
    </row>
    <row r="27" ht="14.25" customHeight="1" s="91">
      <c r="A27" t="inlineStr">
        <is>
          <t>Klukas Paskal</t>
        </is>
      </c>
      <c r="C27" t="n">
        <v>0</v>
      </c>
      <c r="D27" s="3" t="n">
        <v>16</v>
      </c>
      <c r="E27" s="3" t="n"/>
      <c r="F27" s="3" t="n">
        <v>3</v>
      </c>
      <c r="G27" s="7">
        <f>C27+D27+E27+F27</f>
        <v/>
      </c>
    </row>
    <row r="28">
      <c r="A28" t="inlineStr">
        <is>
          <t>Letzel Marvin</t>
        </is>
      </c>
      <c r="C28" t="n">
        <v>63</v>
      </c>
      <c r="D28" s="3" t="n">
        <v>3</v>
      </c>
      <c r="E28" s="3" t="n"/>
      <c r="F28" s="3" t="n"/>
      <c r="G28" s="7">
        <f>C28+D28+E28+F28</f>
        <v/>
      </c>
    </row>
    <row r="29">
      <c r="A29" t="inlineStr">
        <is>
          <t>Linder Andreas</t>
        </is>
      </c>
      <c r="B29" t="inlineStr">
        <is>
          <t>L</t>
        </is>
      </c>
      <c r="C29" t="n">
        <v>129</v>
      </c>
      <c r="D29" s="3" t="n">
        <v>4</v>
      </c>
      <c r="E29" s="3" t="n"/>
      <c r="F29" s="3" t="n">
        <v>2</v>
      </c>
      <c r="G29" s="7">
        <f>C29+D29+E29+F29</f>
        <v/>
      </c>
    </row>
    <row r="30">
      <c r="A30" t="inlineStr">
        <is>
          <t>Lobert Marius</t>
        </is>
      </c>
      <c r="C30" t="n">
        <v>67</v>
      </c>
      <c r="D30" s="3" t="n">
        <v>9</v>
      </c>
      <c r="E30" s="3" t="n">
        <v>1</v>
      </c>
      <c r="F30" s="3" t="n">
        <v>5</v>
      </c>
      <c r="G30" s="7">
        <f>C30+D30+E30+F30</f>
        <v/>
      </c>
    </row>
    <row r="31" ht="14.25" customHeight="1" s="91">
      <c r="A31" t="inlineStr">
        <is>
          <t>Löffler Marius</t>
        </is>
      </c>
      <c r="B31" t="inlineStr">
        <is>
          <t>L</t>
        </is>
      </c>
      <c r="C31" t="n">
        <v>265</v>
      </c>
      <c r="D31" s="3" t="n">
        <v>20</v>
      </c>
      <c r="E31" s="3" t="n">
        <v>2</v>
      </c>
      <c r="F31" s="3" t="n">
        <v>9</v>
      </c>
      <c r="G31" s="7">
        <f>C31+D31+E31+F31</f>
        <v/>
      </c>
    </row>
    <row r="32" ht="14.25" customFormat="1" customHeight="1" s="4">
      <c r="A32" s="4" t="inlineStr">
        <is>
          <t>Marte Marvin</t>
        </is>
      </c>
      <c r="B32" s="4" t="inlineStr">
        <is>
          <t>M</t>
        </is>
      </c>
      <c r="C32" s="4" t="n">
        <v>231</v>
      </c>
      <c r="D32" s="12" t="n">
        <v>17</v>
      </c>
      <c r="E32" s="12" t="n">
        <v>2</v>
      </c>
      <c r="F32" s="12" t="n">
        <v>9</v>
      </c>
      <c r="G32" s="5">
        <f>C32+D32+E32+F32</f>
        <v/>
      </c>
    </row>
    <row r="33">
      <c r="A33" t="inlineStr">
        <is>
          <t>Müller Andre</t>
        </is>
      </c>
      <c r="B33" t="inlineStr">
        <is>
          <t>M</t>
        </is>
      </c>
      <c r="C33" t="n">
        <v>101</v>
      </c>
      <c r="D33" s="3" t="n">
        <v>6</v>
      </c>
      <c r="E33" s="3" t="n">
        <v>1</v>
      </c>
      <c r="F33" s="3" t="n">
        <v>3</v>
      </c>
      <c r="G33" s="7">
        <f>C33+D33+E33+F33</f>
        <v/>
      </c>
    </row>
    <row r="34">
      <c r="A34" s="92" t="inlineStr">
        <is>
          <t>Müller Felix</t>
        </is>
      </c>
      <c r="B34" s="92" t="inlineStr">
        <is>
          <t>L</t>
        </is>
      </c>
      <c r="C34" t="n">
        <v>174</v>
      </c>
      <c r="D34" s="3" t="n">
        <v>5</v>
      </c>
      <c r="E34" s="3" t="n">
        <v>1</v>
      </c>
      <c r="F34" s="3" t="n">
        <v>8</v>
      </c>
      <c r="G34" s="7">
        <f>C34+D34+E34+F34</f>
        <v/>
      </c>
    </row>
    <row r="35" ht="14.25" customFormat="1" customHeight="1" s="4">
      <c r="A35" s="4" t="inlineStr">
        <is>
          <t>Müller Thorsten</t>
        </is>
      </c>
      <c r="B35" s="4" t="inlineStr">
        <is>
          <t>M</t>
        </is>
      </c>
      <c r="C35" s="4" t="n">
        <v>198</v>
      </c>
      <c r="D35" s="12" t="n">
        <v>17</v>
      </c>
      <c r="E35" s="12" t="n">
        <v>2</v>
      </c>
      <c r="F35" s="12" t="n">
        <v>10</v>
      </c>
      <c r="G35" s="5">
        <f>C35+D35+E35+F35</f>
        <v/>
      </c>
    </row>
    <row r="36" ht="14.25" customHeight="1" s="91">
      <c r="A36" t="inlineStr">
        <is>
          <t>Müller Moritz</t>
        </is>
      </c>
      <c r="C36" t="n">
        <v>49</v>
      </c>
      <c r="D36" s="3" t="n">
        <v>25</v>
      </c>
      <c r="E36" s="3" t="n">
        <v>2</v>
      </c>
      <c r="F36" s="3" t="n">
        <v>8</v>
      </c>
      <c r="G36" s="7">
        <f>C36+D36+E36+F36</f>
        <v/>
      </c>
    </row>
    <row r="37" ht="14.25" customHeight="1" s="91">
      <c r="A37" t="inlineStr">
        <is>
          <t>Neumaier Tizian</t>
        </is>
      </c>
      <c r="C37" t="n">
        <v>42</v>
      </c>
      <c r="D37" s="3" t="n">
        <v>10</v>
      </c>
      <c r="E37" s="3" t="n">
        <v>1</v>
      </c>
      <c r="F37" s="3" t="n"/>
      <c r="G37" s="7">
        <f>C37+D37+E37+F37</f>
        <v/>
      </c>
    </row>
    <row r="38" ht="14.25" customHeight="1" s="91">
      <c r="A38" t="inlineStr">
        <is>
          <t>Palmer Lukas</t>
        </is>
      </c>
      <c r="C38" t="n">
        <v>58</v>
      </c>
      <c r="D38" s="3" t="n">
        <v>15</v>
      </c>
      <c r="E38" s="3" t="n">
        <v>1</v>
      </c>
      <c r="F38" s="3" t="n">
        <v>3</v>
      </c>
      <c r="G38" s="7">
        <f>C38+D38+E38+F38</f>
        <v/>
      </c>
    </row>
    <row r="39">
      <c r="A39" t="inlineStr">
        <is>
          <t>Pfundstein Andreas</t>
        </is>
      </c>
      <c r="B39" t="inlineStr">
        <is>
          <t>L</t>
        </is>
      </c>
      <c r="C39" t="n">
        <v>121</v>
      </c>
      <c r="D39" s="3" t="n">
        <v>2</v>
      </c>
      <c r="E39" s="3" t="n"/>
      <c r="F39" s="3" t="n"/>
      <c r="G39" s="7">
        <f>C39+D39+E39+F39</f>
        <v/>
      </c>
    </row>
    <row r="40">
      <c r="A40" t="inlineStr">
        <is>
          <t>Preuss Jeremias</t>
        </is>
      </c>
      <c r="B40" t="inlineStr">
        <is>
          <t>M</t>
        </is>
      </c>
      <c r="C40" t="n">
        <v>225</v>
      </c>
      <c r="D40" s="3" t="n"/>
      <c r="E40" s="3" t="n"/>
      <c r="F40" s="3" t="n">
        <v>1</v>
      </c>
      <c r="G40" s="7">
        <f>C40+D40+E40+F40</f>
        <v/>
      </c>
    </row>
    <row r="41" ht="14.25" customFormat="1" customHeight="1" s="4">
      <c r="A41" t="inlineStr">
        <is>
          <t>Preuss, Jonas</t>
        </is>
      </c>
      <c r="C41" t="n">
        <v>300</v>
      </c>
      <c r="D41" s="3" t="n">
        <v>27</v>
      </c>
      <c r="E41" s="3" t="n">
        <v>3</v>
      </c>
      <c r="F41" s="3" t="n">
        <v>9</v>
      </c>
      <c r="G41" s="7">
        <f>C41+D41+E41+F41</f>
        <v/>
      </c>
    </row>
    <row r="42" customFormat="1" s="4">
      <c r="A42" s="4" t="inlineStr">
        <is>
          <t>Reuter J.</t>
        </is>
      </c>
      <c r="B42" s="4" t="inlineStr">
        <is>
          <t>M</t>
        </is>
      </c>
      <c r="C42" s="4" t="n">
        <v>243</v>
      </c>
      <c r="D42" s="12" t="n">
        <v>9</v>
      </c>
      <c r="E42" s="12" t="n"/>
      <c r="F42" s="12" t="n"/>
      <c r="G42" s="5">
        <f>C42+D42+E42+F42</f>
        <v/>
      </c>
    </row>
    <row r="43">
      <c r="A43" t="inlineStr">
        <is>
          <t>Ruoff Ulli</t>
        </is>
      </c>
      <c r="B43" t="inlineStr">
        <is>
          <t>L</t>
        </is>
      </c>
      <c r="C43" t="n">
        <v>380</v>
      </c>
      <c r="D43" s="3" t="n">
        <v>1</v>
      </c>
      <c r="E43" s="3" t="n"/>
      <c r="F43" s="3" t="n"/>
      <c r="G43" s="7">
        <f>C43+D43+E43+F43</f>
        <v/>
      </c>
    </row>
    <row r="44" ht="14.25" customHeight="1" s="91">
      <c r="A44" s="92" t="inlineStr">
        <is>
          <t>Schaumann Daniel</t>
        </is>
      </c>
      <c r="C44" t="n">
        <v>63</v>
      </c>
      <c r="D44" s="3" t="n">
        <v>22</v>
      </c>
      <c r="E44" s="3" t="n">
        <v>2</v>
      </c>
      <c r="F44" s="3" t="n">
        <v>8</v>
      </c>
      <c r="G44" s="7">
        <f>C44+D44+E44+F44</f>
        <v/>
      </c>
    </row>
    <row r="45" ht="14.25" customHeight="1" s="91">
      <c r="A45" s="92" t="inlineStr">
        <is>
          <t>Schaumann David</t>
        </is>
      </c>
      <c r="B45" s="92" t="inlineStr">
        <is>
          <t>M</t>
        </is>
      </c>
      <c r="C45" t="n">
        <v>97</v>
      </c>
      <c r="D45" s="3" t="n">
        <v>26</v>
      </c>
      <c r="E45" s="3" t="n">
        <v>2</v>
      </c>
      <c r="F45" s="3" t="n">
        <v>4</v>
      </c>
      <c r="G45" s="7">
        <f>C45+D45+E45+F45</f>
        <v/>
      </c>
    </row>
    <row r="46" ht="14.25" customFormat="1" customHeight="1" s="4">
      <c r="A46" t="inlineStr">
        <is>
          <t>Schaumann Seb</t>
        </is>
      </c>
      <c r="B46" t="inlineStr">
        <is>
          <t>M</t>
        </is>
      </c>
      <c r="C46" t="n">
        <v>204</v>
      </c>
      <c r="D46" s="3" t="n">
        <v>27</v>
      </c>
      <c r="E46" s="3" t="n">
        <v>3</v>
      </c>
      <c r="F46" s="3" t="n">
        <v>5</v>
      </c>
      <c r="G46" s="7">
        <f>C46+D46+E46+F46</f>
        <v/>
      </c>
    </row>
    <row r="47" ht="14.25" customHeight="1" s="91">
      <c r="A47" t="inlineStr">
        <is>
          <t>Scheck Lucas</t>
        </is>
      </c>
      <c r="C47" t="n">
        <v>25</v>
      </c>
      <c r="D47" s="3" t="n">
        <v>11</v>
      </c>
      <c r="E47" s="3" t="n"/>
      <c r="F47" s="3" t="n">
        <v>6</v>
      </c>
      <c r="G47" s="7">
        <f>C47+D47+E47+F47</f>
        <v/>
      </c>
    </row>
    <row r="48">
      <c r="A48" t="inlineStr">
        <is>
          <t>Seidel Jan</t>
        </is>
      </c>
      <c r="C48" t="n">
        <v>45</v>
      </c>
      <c r="D48" s="3" t="n">
        <v>2</v>
      </c>
      <c r="E48" s="3" t="n"/>
      <c r="F48" s="3" t="n">
        <v>2</v>
      </c>
      <c r="G48" s="7">
        <f>C48+D48+E48+F48</f>
        <v/>
      </c>
    </row>
    <row r="49" ht="14.25" customFormat="1" customHeight="1" s="4">
      <c r="A49" s="4" t="inlineStr">
        <is>
          <t>Staiger Tobias</t>
        </is>
      </c>
      <c r="B49" s="4" t="inlineStr">
        <is>
          <t>L</t>
        </is>
      </c>
      <c r="C49" s="4" t="n">
        <v>397</v>
      </c>
      <c r="D49" s="12" t="n">
        <v>24</v>
      </c>
      <c r="E49" s="12" t="n">
        <v>2</v>
      </c>
      <c r="F49" s="12" t="n">
        <v>7</v>
      </c>
      <c r="G49" s="5">
        <f>C49+D49+E49+F49</f>
        <v/>
      </c>
    </row>
    <row r="50" customFormat="1" s="4">
      <c r="A50" s="4" t="inlineStr">
        <is>
          <t>Stern Alexander</t>
        </is>
      </c>
      <c r="B50" s="4" t="inlineStr">
        <is>
          <t>M</t>
        </is>
      </c>
      <c r="C50" s="4" t="n">
        <v>198</v>
      </c>
      <c r="D50" s="12" t="n">
        <v>8</v>
      </c>
      <c r="E50" s="12" t="n"/>
      <c r="F50" s="12" t="n"/>
      <c r="G50" s="5">
        <f>C50+D50+E50+F50</f>
        <v/>
      </c>
    </row>
    <row r="51" ht="14.25" customHeight="1" s="91">
      <c r="A51" t="inlineStr">
        <is>
          <t>Thies Yannick</t>
        </is>
      </c>
      <c r="C51" t="n">
        <v>85</v>
      </c>
      <c r="D51" s="3" t="n">
        <v>15</v>
      </c>
      <c r="E51" s="3" t="n"/>
      <c r="F51" s="3" t="n">
        <v>5</v>
      </c>
      <c r="G51" s="7">
        <f>C51+D51+E51+F51</f>
        <v/>
      </c>
    </row>
    <row r="52" ht="14.25" customHeight="1" s="91">
      <c r="A52" t="inlineStr">
        <is>
          <t>Tramnitz Christoph</t>
        </is>
      </c>
      <c r="B52" t="inlineStr">
        <is>
          <t>L</t>
        </is>
      </c>
      <c r="C52" t="n">
        <v>204</v>
      </c>
      <c r="D52" s="3" t="n">
        <v>14</v>
      </c>
      <c r="E52" s="3" t="n"/>
      <c r="F52" s="3" t="n">
        <v>2</v>
      </c>
      <c r="G52" s="7">
        <f>C52+D52+E52+F52</f>
        <v/>
      </c>
    </row>
    <row r="53">
      <c r="A53" t="inlineStr">
        <is>
          <t>Tramnitz Lukas</t>
        </is>
      </c>
      <c r="B53" t="inlineStr">
        <is>
          <t>L</t>
        </is>
      </c>
      <c r="C53" t="n">
        <v>113</v>
      </c>
      <c r="D53" s="3" t="n">
        <v>7</v>
      </c>
      <c r="E53" s="3" t="n">
        <v>1</v>
      </c>
      <c r="F53" s="3" t="n">
        <v>3</v>
      </c>
      <c r="G53" s="7">
        <f>C53+D53+E53+F53</f>
        <v/>
      </c>
    </row>
    <row r="54" ht="14.25" customHeight="1" s="91">
      <c r="A54" t="inlineStr">
        <is>
          <t>Verino Roberto</t>
        </is>
      </c>
      <c r="B54" t="inlineStr">
        <is>
          <t>M</t>
        </is>
      </c>
      <c r="C54" t="n">
        <v>216</v>
      </c>
      <c r="D54" s="3" t="n">
        <v>21</v>
      </c>
      <c r="E54" s="3" t="n"/>
      <c r="F54" s="3" t="n">
        <v>6</v>
      </c>
      <c r="G54" s="7">
        <f>C54+D54+E54+F54</f>
        <v/>
      </c>
    </row>
    <row r="56">
      <c r="A56" s="10" t="inlineStr">
        <is>
          <t>Anzahl Spieler</t>
        </is>
      </c>
      <c r="B56" s="10" t="n"/>
      <c r="C56" s="11" t="n"/>
      <c r="D56" s="10">
        <f>COUNT(D6:D54)</f>
        <v/>
      </c>
      <c r="E56" s="10">
        <f>COUNT(E6:E54)</f>
        <v/>
      </c>
      <c r="F56" s="10">
        <f>COUNT(F6:F54)</f>
        <v/>
      </c>
      <c r="G56" s="10" t="n"/>
    </row>
    <row r="57">
      <c r="A57" s="8" t="inlineStr">
        <is>
          <t>Anzahl Tore</t>
        </is>
      </c>
      <c r="B57" s="8" t="n"/>
      <c r="C57" s="9" t="n"/>
      <c r="D57" s="8">
        <f>SUM(D6:D52)</f>
        <v/>
      </c>
      <c r="E57" s="8">
        <f>SUM(E6:E52)</f>
        <v/>
      </c>
      <c r="F57" s="8">
        <f>SUM(F6:F52)</f>
        <v/>
      </c>
      <c r="G57" s="8" t="n"/>
    </row>
    <row r="60">
      <c r="A60" t="inlineStr">
        <is>
          <t xml:space="preserve"> </t>
        </is>
      </c>
    </row>
  </sheetData>
  <mergeCells count="1">
    <mergeCell ref="E1:G1"/>
  </mergeCells>
  <printOptions gridLines="1"/>
  <pageMargins left="0.48" right="0.19" top="0.43" bottom="0.48" header="0.34" footer="0.25"/>
  <pageSetup orientation="landscape" paperSize="8" scale="89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64"/>
  <sheetViews>
    <sheetView view="pageBreakPreview" zoomScale="70" zoomScaleNormal="25" zoomScaleSheetLayoutView="70" workbookViewId="0">
      <pane xSplit="3" ySplit="2" topLeftCell="D24" activePane="bottomRight" state="frozen"/>
      <selection pane="topRight" activeCell="C1" sqref="C1"/>
      <selection pane="bottomLeft" activeCell="A7" sqref="A7"/>
      <selection pane="bottomRight" activeCell="C1" sqref="C1"/>
    </sheetView>
  </sheetViews>
  <sheetFormatPr baseColWidth="10" defaultColWidth="9.140625" defaultRowHeight="12.75"/>
  <cols>
    <col width="18.42578125" customWidth="1" style="91" min="1" max="1"/>
    <col width="4.140625" customWidth="1" style="91" min="2" max="2"/>
    <col width="5.42578125" customWidth="1" style="91" min="3" max="3"/>
    <col width="10.7109375" customWidth="1" style="91" min="4" max="6"/>
    <col width="35.42578125" customWidth="1" style="91" min="7" max="7"/>
    <col width="5.85546875" bestFit="1" customWidth="1" style="91" min="8" max="8"/>
    <col width="5.85546875" customWidth="1" style="91" min="9" max="9"/>
    <col width="5.42578125" bestFit="1" customWidth="1" style="91" min="10" max="10"/>
  </cols>
  <sheetData>
    <row r="1" ht="36.75" customHeight="1" s="91">
      <c r="E1" s="99" t="inlineStr">
        <is>
          <t>Saison 22/23</t>
        </is>
      </c>
    </row>
    <row r="2" ht="79.5" customHeight="1" s="91">
      <c r="A2" s="8" t="n"/>
      <c r="B2" s="8" t="n"/>
      <c r="C2" s="9" t="n"/>
      <c r="D2" s="2" t="inlineStr">
        <is>
          <t>Punktspiel</t>
        </is>
      </c>
      <c r="E2" s="2" t="inlineStr">
        <is>
          <t>Pokalspiele</t>
        </is>
      </c>
      <c r="F2" s="2" t="inlineStr">
        <is>
          <t>Freundschaftsspiele</t>
        </is>
      </c>
      <c r="G2" s="6" t="inlineStr">
        <is>
          <t>Spiele gesamt</t>
        </is>
      </c>
    </row>
    <row r="3" ht="12.75" customHeight="1" s="91">
      <c r="A3" s="92" t="inlineStr">
        <is>
          <t>Auber, Manuel</t>
        </is>
      </c>
      <c r="C3">
        <f>'21-22'!G3</f>
        <v/>
      </c>
      <c r="D3" s="13" t="n">
        <v>23</v>
      </c>
      <c r="E3" s="13" t="n">
        <v>0</v>
      </c>
      <c r="F3" s="13" t="n">
        <v>3</v>
      </c>
      <c r="G3" s="7">
        <f>C3+D3+E3+F3</f>
        <v/>
      </c>
    </row>
    <row r="4" ht="12.75" customHeight="1" s="91">
      <c r="A4" s="92" t="inlineStr">
        <is>
          <t>Auber, Daniel</t>
        </is>
      </c>
      <c r="C4">
        <f>'21-22'!G4</f>
        <v/>
      </c>
      <c r="D4" s="13" t="n">
        <v>18</v>
      </c>
      <c r="E4" s="13" t="n">
        <v>2</v>
      </c>
      <c r="F4" s="13" t="n">
        <v>7</v>
      </c>
      <c r="G4" s="7">
        <f>C4+D4+E4+F4</f>
        <v/>
      </c>
    </row>
    <row r="5" ht="12.75" customHeight="1" s="91">
      <c r="A5" s="92" t="inlineStr">
        <is>
          <t>Auber, David</t>
        </is>
      </c>
      <c r="C5">
        <f>'21-22'!G5</f>
        <v/>
      </c>
      <c r="D5" s="13" t="n">
        <v>20</v>
      </c>
      <c r="E5" s="13" t="n">
        <v>2</v>
      </c>
      <c r="F5" s="13" t="n">
        <v>2</v>
      </c>
      <c r="G5" s="7">
        <f>C5+D5+E5+F5</f>
        <v/>
      </c>
    </row>
    <row r="6" ht="12.75" customHeight="1" s="91">
      <c r="A6" s="92" t="inlineStr">
        <is>
          <t>Bea, Marc</t>
        </is>
      </c>
      <c r="C6">
        <f>'21-22'!G6</f>
        <v/>
      </c>
      <c r="D6" s="13" t="n">
        <v>20</v>
      </c>
      <c r="E6" s="13" t="n">
        <v>1</v>
      </c>
      <c r="F6" s="13" t="n">
        <v>3</v>
      </c>
      <c r="G6" s="7">
        <f>C6+D6+E6+F6</f>
        <v/>
      </c>
    </row>
    <row r="7" ht="12.75" customHeight="1" s="91">
      <c r="A7" t="inlineStr">
        <is>
          <t>Benner, Florian</t>
        </is>
      </c>
      <c r="B7" t="inlineStr">
        <is>
          <t>M</t>
        </is>
      </c>
      <c r="C7">
        <f>'21-22'!G7</f>
        <v/>
      </c>
      <c r="D7" s="13" t="n">
        <v>1</v>
      </c>
      <c r="E7" s="13" t="n">
        <v>0</v>
      </c>
      <c r="F7" s="13" t="n">
        <v>1</v>
      </c>
      <c r="G7" s="7">
        <f>C7+D7+E7+F7</f>
        <v/>
      </c>
    </row>
    <row r="8" ht="12.75" customHeight="1" s="91">
      <c r="A8" t="inlineStr">
        <is>
          <t>Binnig Andre</t>
        </is>
      </c>
      <c r="B8" t="inlineStr">
        <is>
          <t>L</t>
        </is>
      </c>
      <c r="C8">
        <f>'21-22'!G8</f>
        <v/>
      </c>
      <c r="D8" s="13" t="n">
        <v>5</v>
      </c>
      <c r="E8" s="13" t="n">
        <v>0</v>
      </c>
      <c r="F8" s="13" t="n">
        <v>3</v>
      </c>
      <c r="G8" s="7">
        <f>C8+D8+E8+F8</f>
        <v/>
      </c>
    </row>
    <row r="9">
      <c r="A9" t="inlineStr">
        <is>
          <t>Bosch M.</t>
        </is>
      </c>
      <c r="B9" t="inlineStr">
        <is>
          <t>L</t>
        </is>
      </c>
      <c r="C9">
        <f>'21-22'!G9</f>
        <v/>
      </c>
      <c r="D9" s="13" t="n">
        <v>15</v>
      </c>
      <c r="E9" s="13" t="n">
        <v>1</v>
      </c>
      <c r="F9" s="13" t="n">
        <v>8</v>
      </c>
      <c r="G9" s="7">
        <f>C9+D9+E9+F9</f>
        <v/>
      </c>
    </row>
    <row r="10">
      <c r="A10" t="inlineStr">
        <is>
          <t>Broghammer Marcel</t>
        </is>
      </c>
      <c r="C10">
        <f>'21-22'!G10</f>
        <v/>
      </c>
      <c r="D10" s="13" t="n">
        <v>22</v>
      </c>
      <c r="E10" s="13" t="n">
        <v>1</v>
      </c>
      <c r="F10" s="13" t="n">
        <v>6</v>
      </c>
      <c r="G10" s="7">
        <f>C10+D10+E10+F10</f>
        <v/>
      </c>
    </row>
    <row r="11" ht="12.75" customFormat="1" customHeight="1" s="4">
      <c r="A11" t="inlineStr">
        <is>
          <t>Dold Markus</t>
        </is>
      </c>
      <c r="B11" t="inlineStr">
        <is>
          <t>M</t>
        </is>
      </c>
      <c r="C11">
        <f>'21-22'!G11</f>
        <v/>
      </c>
      <c r="D11" s="13" t="n">
        <v>21</v>
      </c>
      <c r="E11" s="13" t="n">
        <v>1</v>
      </c>
      <c r="F11" s="13" t="n">
        <v>9</v>
      </c>
      <c r="G11" s="7">
        <f>C11+D11+E11+F11</f>
        <v/>
      </c>
    </row>
    <row r="12" customFormat="1" s="4">
      <c r="A12" t="inlineStr">
        <is>
          <t>Ebert M.</t>
        </is>
      </c>
      <c r="B12" t="inlineStr">
        <is>
          <t>M</t>
        </is>
      </c>
      <c r="C12">
        <f>'21-22'!G12</f>
        <v/>
      </c>
      <c r="D12" s="13" t="n">
        <v>6</v>
      </c>
      <c r="E12" s="13" t="n">
        <v>0</v>
      </c>
      <c r="F12" s="13" t="n">
        <v>0</v>
      </c>
      <c r="G12" s="7">
        <f>C12+D12+E12+F12</f>
        <v/>
      </c>
    </row>
    <row r="13">
      <c r="A13" t="inlineStr">
        <is>
          <t>Flaig Elias</t>
        </is>
      </c>
      <c r="C13">
        <f>'21-22'!G13</f>
        <v/>
      </c>
      <c r="D13" s="13" t="n">
        <v>20</v>
      </c>
      <c r="E13" s="13" t="n">
        <v>0</v>
      </c>
      <c r="F13" s="13" t="n">
        <v>4</v>
      </c>
      <c r="G13" s="7">
        <f>C13+D13+E13+F13</f>
        <v/>
      </c>
    </row>
    <row r="14">
      <c r="A14" t="inlineStr">
        <is>
          <t>Flaig Luis</t>
        </is>
      </c>
      <c r="C14" t="n">
        <v>0</v>
      </c>
      <c r="D14" s="13" t="n">
        <v>13</v>
      </c>
      <c r="E14" s="13" t="n">
        <v>1</v>
      </c>
      <c r="F14" s="13" t="n">
        <v>1</v>
      </c>
      <c r="G14" s="7">
        <f>C14+D14+E14+F14</f>
        <v/>
      </c>
    </row>
    <row r="15">
      <c r="A15" t="inlineStr">
        <is>
          <t>Flaig Tim</t>
        </is>
      </c>
      <c r="C15">
        <f>'21-22'!G14</f>
        <v/>
      </c>
      <c r="D15" s="13" t="n">
        <v>28</v>
      </c>
      <c r="E15" s="13" t="n">
        <v>0</v>
      </c>
      <c r="F15" s="13" t="n">
        <v>9</v>
      </c>
      <c r="G15" s="7">
        <f>C15+D15+E15+F15</f>
        <v/>
      </c>
    </row>
    <row r="16">
      <c r="A16" t="inlineStr">
        <is>
          <t>Fleig Maximilian</t>
        </is>
      </c>
      <c r="C16">
        <f>'21-22'!G15</f>
        <v/>
      </c>
      <c r="D16" s="13" t="n">
        <v>14</v>
      </c>
      <c r="E16" s="13" t="n">
        <v>1</v>
      </c>
      <c r="F16" s="13" t="n">
        <v>6</v>
      </c>
      <c r="G16" s="7">
        <f>C16+D16+E16+F16</f>
        <v/>
      </c>
    </row>
    <row r="17" customFormat="1" s="4">
      <c r="A17" t="inlineStr">
        <is>
          <t>Günter Ralf</t>
        </is>
      </c>
      <c r="B17" t="inlineStr">
        <is>
          <t>L</t>
        </is>
      </c>
      <c r="C17">
        <f>'21-22'!G16</f>
        <v/>
      </c>
      <c r="D17" s="13" t="n">
        <v>11</v>
      </c>
      <c r="E17" s="13" t="n">
        <v>2</v>
      </c>
      <c r="F17" s="13" t="n">
        <v>7</v>
      </c>
      <c r="G17" s="7">
        <f>C17+D17+E17+F17</f>
        <v/>
      </c>
    </row>
    <row r="18" customFormat="1" s="4">
      <c r="A18" t="inlineStr">
        <is>
          <t>Haberstroh Raphael</t>
        </is>
      </c>
      <c r="B18" t="inlineStr">
        <is>
          <t>M</t>
        </is>
      </c>
      <c r="C18">
        <f>'21-22'!G17</f>
        <v/>
      </c>
      <c r="D18" s="13" t="n">
        <v>21</v>
      </c>
      <c r="E18" s="13" t="n">
        <v>0</v>
      </c>
      <c r="F18" s="13" t="n">
        <v>6</v>
      </c>
      <c r="G18" s="7">
        <f>C18+D18+E18+F18</f>
        <v/>
      </c>
    </row>
    <row r="19">
      <c r="A19" s="92" t="inlineStr">
        <is>
          <t>Hauser Marcel</t>
        </is>
      </c>
      <c r="B19" s="92" t="inlineStr">
        <is>
          <t>L</t>
        </is>
      </c>
      <c r="C19">
        <f>'21-22'!G18</f>
        <v/>
      </c>
      <c r="D19" s="13" t="n">
        <v>24</v>
      </c>
      <c r="E19" s="13" t="n">
        <v>1</v>
      </c>
      <c r="F19" s="13" t="n">
        <v>5</v>
      </c>
      <c r="G19" s="7">
        <f>C19+D19+E19+F19</f>
        <v/>
      </c>
    </row>
    <row r="20">
      <c r="A20" s="92" t="inlineStr">
        <is>
          <t>Hornberger Christian</t>
        </is>
      </c>
      <c r="B20" s="92" t="n"/>
      <c r="C20">
        <f>'21-22'!G19</f>
        <v/>
      </c>
      <c r="D20" s="13" t="n">
        <v>24</v>
      </c>
      <c r="E20" s="13" t="n">
        <v>1</v>
      </c>
      <c r="F20" s="13" t="n">
        <v>8</v>
      </c>
      <c r="G20" s="7">
        <f>C20+D20+E20+F20</f>
        <v/>
      </c>
    </row>
    <row r="21">
      <c r="A21" s="92" t="inlineStr">
        <is>
          <t>Jawadi, Ahmad</t>
        </is>
      </c>
      <c r="B21" s="92" t="n"/>
      <c r="C21">
        <f>'21-22'!G20</f>
        <v/>
      </c>
      <c r="D21" s="13" t="n">
        <v>5</v>
      </c>
      <c r="E21" s="13" t="n">
        <v>0</v>
      </c>
      <c r="F21" s="13" t="n">
        <v>0</v>
      </c>
      <c r="G21" s="7">
        <f>C21+D21+E21+F21</f>
        <v/>
      </c>
    </row>
    <row r="22">
      <c r="A22" s="92" t="inlineStr">
        <is>
          <t>Jauch Joachim</t>
        </is>
      </c>
      <c r="B22" s="92" t="n"/>
      <c r="C22">
        <f>'21-22'!G21</f>
        <v/>
      </c>
      <c r="D22" s="13" t="n">
        <v>1</v>
      </c>
      <c r="E22" s="13" t="n">
        <v>0</v>
      </c>
      <c r="F22" s="13" t="n">
        <v>0</v>
      </c>
      <c r="G22" s="7">
        <f>C22+D22+E22+F22</f>
        <v/>
      </c>
    </row>
    <row r="23">
      <c r="A23" s="92" t="inlineStr">
        <is>
          <t>Katzer Florian</t>
        </is>
      </c>
      <c r="B23" s="92" t="n"/>
      <c r="C23">
        <f>'21-22'!G22</f>
        <v/>
      </c>
      <c r="D23" s="13" t="n">
        <v>19</v>
      </c>
      <c r="E23" s="13" t="n">
        <v>0</v>
      </c>
      <c r="F23" s="13" t="n">
        <v>1</v>
      </c>
      <c r="G23" s="7">
        <f>C23+D23+E23+F23</f>
        <v/>
      </c>
    </row>
    <row r="24">
      <c r="A24" t="inlineStr">
        <is>
          <t>Kimmich Simeon</t>
        </is>
      </c>
      <c r="C24">
        <f>'21-22'!G23</f>
        <v/>
      </c>
      <c r="D24" s="13" t="n">
        <v>17</v>
      </c>
      <c r="E24" s="13" t="n">
        <v>1</v>
      </c>
      <c r="F24" s="13" t="n">
        <v>3</v>
      </c>
      <c r="G24" s="7">
        <f>C24+D24+E24+F24</f>
        <v/>
      </c>
    </row>
    <row r="25">
      <c r="A25" s="92" t="inlineStr">
        <is>
          <t>Kuner Andreas</t>
        </is>
      </c>
      <c r="C25">
        <f>'21-22'!G24</f>
        <v/>
      </c>
      <c r="D25" s="13" t="n">
        <v>27</v>
      </c>
      <c r="E25" s="13" t="n">
        <v>1</v>
      </c>
      <c r="F25" s="13" t="n">
        <v>6</v>
      </c>
      <c r="G25" s="7">
        <f>C25+D25+E25+F25</f>
        <v/>
      </c>
    </row>
    <row r="26">
      <c r="A26" s="92" t="inlineStr">
        <is>
          <t>Kobel Michael</t>
        </is>
      </c>
      <c r="C26">
        <f>'21-22'!G25</f>
        <v/>
      </c>
      <c r="D26" s="13" t="n">
        <v>21</v>
      </c>
      <c r="E26" s="13" t="n">
        <v>1</v>
      </c>
      <c r="F26" s="13" t="n">
        <v>7</v>
      </c>
      <c r="G26" s="7">
        <f>C26+D26+E26+F26</f>
        <v/>
      </c>
    </row>
    <row r="27" customFormat="1" s="4">
      <c r="A27" t="inlineStr">
        <is>
          <t>Klein Daniel</t>
        </is>
      </c>
      <c r="B27" t="inlineStr">
        <is>
          <t>M</t>
        </is>
      </c>
      <c r="C27">
        <f>'21-22'!G26</f>
        <v/>
      </c>
      <c r="D27" s="13" t="n">
        <v>26</v>
      </c>
      <c r="E27" s="13" t="n">
        <v>0</v>
      </c>
      <c r="F27" s="13" t="n">
        <v>8</v>
      </c>
      <c r="G27" s="7">
        <f>C27+D27+E27+F27</f>
        <v/>
      </c>
    </row>
    <row r="28">
      <c r="A28" t="inlineStr">
        <is>
          <t>Klukas Pascal</t>
        </is>
      </c>
      <c r="C28">
        <f>'21-22'!G27</f>
        <v/>
      </c>
      <c r="D28" s="13" t="n">
        <v>21</v>
      </c>
      <c r="E28" s="13" t="n">
        <v>1</v>
      </c>
      <c r="F28" s="13" t="n">
        <v>5</v>
      </c>
      <c r="G28" s="7">
        <f>C28+D28+E28+F28</f>
        <v/>
      </c>
    </row>
    <row r="29">
      <c r="A29" t="inlineStr">
        <is>
          <t>Letzel Marvin</t>
        </is>
      </c>
      <c r="C29">
        <f>'21-22'!G28</f>
        <v/>
      </c>
      <c r="D29" s="13" t="n">
        <v>0</v>
      </c>
      <c r="E29" s="13" t="n">
        <v>0</v>
      </c>
      <c r="F29" s="13" t="n">
        <v>0</v>
      </c>
      <c r="G29" s="7">
        <f>C29+D29+E29+F29</f>
        <v/>
      </c>
    </row>
    <row r="30">
      <c r="A30" t="inlineStr">
        <is>
          <t>Linder Andreas</t>
        </is>
      </c>
      <c r="B30" t="inlineStr">
        <is>
          <t>L</t>
        </is>
      </c>
      <c r="C30">
        <f>'21-22'!G29</f>
        <v/>
      </c>
      <c r="D30" s="13" t="n">
        <v>2</v>
      </c>
      <c r="E30" s="13" t="n">
        <v>0</v>
      </c>
      <c r="F30" s="13" t="n">
        <v>0</v>
      </c>
      <c r="G30" s="7">
        <f>C30+D30+E30+F30</f>
        <v/>
      </c>
    </row>
    <row r="31">
      <c r="A31" t="inlineStr">
        <is>
          <t>Lobert Marius</t>
        </is>
      </c>
      <c r="C31">
        <f>'21-22'!G30</f>
        <v/>
      </c>
      <c r="D31" s="13" t="n">
        <v>25</v>
      </c>
      <c r="E31" s="13" t="n">
        <v>1</v>
      </c>
      <c r="F31" s="13" t="n">
        <v>5</v>
      </c>
      <c r="G31" s="7">
        <f>C31+D31+E31+F31</f>
        <v/>
      </c>
    </row>
    <row r="32">
      <c r="A32" t="inlineStr">
        <is>
          <t>Löffler Marius</t>
        </is>
      </c>
      <c r="B32" t="inlineStr">
        <is>
          <t>L</t>
        </is>
      </c>
      <c r="C32">
        <f>'21-22'!G31</f>
        <v/>
      </c>
      <c r="D32" s="13" t="n">
        <v>19</v>
      </c>
      <c r="E32" s="13" t="n">
        <v>1</v>
      </c>
      <c r="F32" s="13" t="n">
        <v>8</v>
      </c>
      <c r="G32" s="7">
        <f>C32+D32+E32+F32</f>
        <v/>
      </c>
    </row>
    <row r="33" customFormat="1" s="4">
      <c r="A33" t="inlineStr">
        <is>
          <t>Marte Marvin</t>
        </is>
      </c>
      <c r="B33" t="inlineStr">
        <is>
          <t>M</t>
        </is>
      </c>
      <c r="C33">
        <f>'21-22'!G32</f>
        <v/>
      </c>
      <c r="D33" s="13" t="n">
        <v>0</v>
      </c>
      <c r="E33" s="13" t="n">
        <v>0</v>
      </c>
      <c r="F33" s="13" t="n">
        <v>5</v>
      </c>
      <c r="G33" s="7">
        <f>C33+D33+E33+F33</f>
        <v/>
      </c>
    </row>
    <row r="34">
      <c r="A34" t="inlineStr">
        <is>
          <t>Müller Andre</t>
        </is>
      </c>
      <c r="B34" t="inlineStr">
        <is>
          <t>M</t>
        </is>
      </c>
      <c r="C34">
        <f>'21-22'!G33</f>
        <v/>
      </c>
      <c r="D34" s="13" t="n">
        <v>4</v>
      </c>
      <c r="E34" s="13" t="n">
        <v>0</v>
      </c>
      <c r="F34" s="13" t="n">
        <v>0</v>
      </c>
      <c r="G34" s="7">
        <f>C34+D34+E34+F34</f>
        <v/>
      </c>
    </row>
    <row r="35">
      <c r="A35" s="92" t="inlineStr">
        <is>
          <t>Müller Felix</t>
        </is>
      </c>
      <c r="B35" s="92" t="inlineStr">
        <is>
          <t>L</t>
        </is>
      </c>
      <c r="C35">
        <f>'21-22'!G34</f>
        <v/>
      </c>
      <c r="D35" s="13" t="n">
        <v>1</v>
      </c>
      <c r="E35" s="13" t="n">
        <v>0</v>
      </c>
      <c r="F35" s="13" t="n">
        <v>0</v>
      </c>
      <c r="G35" s="7">
        <f>C35+D35+E35+F35</f>
        <v/>
      </c>
    </row>
    <row r="36" customFormat="1" s="4">
      <c r="A36" t="inlineStr">
        <is>
          <t>Müller Thorsten</t>
        </is>
      </c>
      <c r="B36" t="inlineStr">
        <is>
          <t>M</t>
        </is>
      </c>
      <c r="C36">
        <f>'21-22'!G35</f>
        <v/>
      </c>
      <c r="D36" s="13" t="n">
        <v>4</v>
      </c>
      <c r="E36" s="13" t="n">
        <v>0</v>
      </c>
      <c r="F36" s="13" t="n">
        <v>0</v>
      </c>
      <c r="G36" s="7">
        <f>C36+D36+E36+F36</f>
        <v/>
      </c>
    </row>
    <row r="37">
      <c r="A37" t="inlineStr">
        <is>
          <t>Müller Moritz</t>
        </is>
      </c>
      <c r="C37">
        <f>'21-22'!G36</f>
        <v/>
      </c>
      <c r="D37" s="13" t="n">
        <v>20</v>
      </c>
      <c r="E37" s="13" t="n">
        <v>2</v>
      </c>
      <c r="F37" s="13" t="n">
        <v>1</v>
      </c>
      <c r="G37" s="7">
        <f>C37+D37+E37+F37</f>
        <v/>
      </c>
    </row>
    <row r="38">
      <c r="A38" t="inlineStr">
        <is>
          <t>Neumaier Tizian</t>
        </is>
      </c>
      <c r="C38">
        <f>'21-22'!G37</f>
        <v/>
      </c>
      <c r="D38" s="13" t="n">
        <v>3</v>
      </c>
      <c r="E38" s="13" t="n">
        <v>0</v>
      </c>
      <c r="F38" s="13" t="n">
        <v>0</v>
      </c>
      <c r="G38" s="7">
        <f>C38+D38+E38+F38</f>
        <v/>
      </c>
    </row>
    <row r="39">
      <c r="A39" t="inlineStr">
        <is>
          <t>Palmer Lukas</t>
        </is>
      </c>
      <c r="C39">
        <f>'21-22'!G38</f>
        <v/>
      </c>
      <c r="D39" s="13" t="n">
        <v>11</v>
      </c>
      <c r="E39" s="13" t="n">
        <v>1</v>
      </c>
      <c r="F39" s="13" t="n">
        <v>1</v>
      </c>
      <c r="G39" s="7">
        <f>C39+D39+E39+F39</f>
        <v/>
      </c>
    </row>
    <row r="40">
      <c r="A40" t="inlineStr">
        <is>
          <t>Palmer Micha</t>
        </is>
      </c>
      <c r="C40" t="n">
        <v>0</v>
      </c>
      <c r="D40" s="13" t="n">
        <v>16</v>
      </c>
      <c r="E40" s="13" t="n">
        <v>1</v>
      </c>
      <c r="F40" s="13" t="n">
        <v>3</v>
      </c>
      <c r="G40" s="7">
        <f>C40+D40+E40+F40</f>
        <v/>
      </c>
    </row>
    <row r="41">
      <c r="A41" t="inlineStr">
        <is>
          <t>Pfundstein Andreas</t>
        </is>
      </c>
      <c r="B41" t="inlineStr">
        <is>
          <t>L</t>
        </is>
      </c>
      <c r="C41">
        <f>'21-22'!G39</f>
        <v/>
      </c>
      <c r="D41" s="13" t="n">
        <v>0</v>
      </c>
      <c r="E41" s="13" t="n">
        <v>0</v>
      </c>
      <c r="F41" s="13" t="n">
        <v>0</v>
      </c>
      <c r="G41" s="7">
        <f>C41+D41+E41+F41</f>
        <v/>
      </c>
    </row>
    <row r="42">
      <c r="A42" t="inlineStr">
        <is>
          <t>Preuss Jeremias</t>
        </is>
      </c>
      <c r="B42" t="inlineStr">
        <is>
          <t>M</t>
        </is>
      </c>
      <c r="C42">
        <f>'21-22'!G40</f>
        <v/>
      </c>
      <c r="D42" s="13" t="n">
        <v>0</v>
      </c>
      <c r="E42" s="13" t="n">
        <v>0</v>
      </c>
      <c r="F42" s="13" t="n">
        <v>0</v>
      </c>
      <c r="G42" s="7">
        <f>C42+D42+E42+F42</f>
        <v/>
      </c>
    </row>
    <row r="43" customFormat="1" s="4">
      <c r="A43" t="inlineStr">
        <is>
          <t>Preuss, Jonas</t>
        </is>
      </c>
      <c r="C43">
        <f>'21-22'!G41</f>
        <v/>
      </c>
      <c r="D43" s="13" t="n">
        <v>21</v>
      </c>
      <c r="E43" s="13" t="n">
        <v>0</v>
      </c>
      <c r="F43" s="13" t="n">
        <v>8</v>
      </c>
      <c r="G43" s="7">
        <f>C43+D43+E43+F43</f>
        <v/>
      </c>
    </row>
    <row r="44" customFormat="1" s="4">
      <c r="A44" t="inlineStr">
        <is>
          <t>Reuter J.</t>
        </is>
      </c>
      <c r="B44" t="inlineStr">
        <is>
          <t>M</t>
        </is>
      </c>
      <c r="C44">
        <f>'21-22'!G42</f>
        <v/>
      </c>
      <c r="D44" s="13" t="n">
        <v>18</v>
      </c>
      <c r="E44" s="13" t="n">
        <v>1</v>
      </c>
      <c r="F44" s="13" t="n">
        <v>2</v>
      </c>
      <c r="G44" s="7">
        <f>C44+D44+E44+F44</f>
        <v/>
      </c>
    </row>
    <row r="45">
      <c r="A45" t="inlineStr">
        <is>
          <t>Ruoff Ulli</t>
        </is>
      </c>
      <c r="B45" t="inlineStr">
        <is>
          <t>L</t>
        </is>
      </c>
      <c r="C45">
        <f>'21-22'!G43</f>
        <v/>
      </c>
      <c r="D45" s="13" t="n">
        <v>2</v>
      </c>
      <c r="E45" s="13" t="n">
        <v>0</v>
      </c>
      <c r="F45" s="13" t="n">
        <v>0</v>
      </c>
      <c r="G45" s="7">
        <f>C45+D45+E45+F45</f>
        <v/>
      </c>
    </row>
    <row r="46">
      <c r="A46" s="92" t="inlineStr">
        <is>
          <t>Schaumann Daniel</t>
        </is>
      </c>
      <c r="C46">
        <f>'21-22'!G44</f>
        <v/>
      </c>
      <c r="D46" s="13" t="n">
        <v>26</v>
      </c>
      <c r="E46" s="13" t="n">
        <v>0</v>
      </c>
      <c r="F46" s="13" t="n">
        <v>7</v>
      </c>
      <c r="G46" s="7">
        <f>C46+D46+E46+F46</f>
        <v/>
      </c>
    </row>
    <row r="47">
      <c r="A47" s="92" t="inlineStr">
        <is>
          <t>Schaumann David</t>
        </is>
      </c>
      <c r="B47" s="92" t="inlineStr">
        <is>
          <t>M</t>
        </is>
      </c>
      <c r="C47">
        <f>'21-22'!G45</f>
        <v/>
      </c>
      <c r="D47" s="13" t="n">
        <v>23</v>
      </c>
      <c r="E47" s="13" t="n">
        <v>1</v>
      </c>
      <c r="F47" s="13" t="n">
        <v>3</v>
      </c>
      <c r="G47" s="7">
        <f>C47+D47+E47+F47</f>
        <v/>
      </c>
    </row>
    <row r="48" customFormat="1" s="4">
      <c r="A48" t="inlineStr">
        <is>
          <t>Schaumann Seb</t>
        </is>
      </c>
      <c r="B48" t="inlineStr">
        <is>
          <t>M</t>
        </is>
      </c>
      <c r="C48">
        <f>'21-22'!G46</f>
        <v/>
      </c>
      <c r="D48" s="13" t="n">
        <v>26</v>
      </c>
      <c r="E48" s="13" t="n">
        <v>0</v>
      </c>
      <c r="F48" s="13" t="n">
        <v>6</v>
      </c>
      <c r="G48" s="7">
        <f>C48+D48+E48+F48</f>
        <v/>
      </c>
    </row>
    <row r="49">
      <c r="A49" t="inlineStr">
        <is>
          <t>Scheck Lucas</t>
        </is>
      </c>
      <c r="C49">
        <f>'21-22'!G47</f>
        <v/>
      </c>
      <c r="D49" s="13" t="n">
        <v>22</v>
      </c>
      <c r="E49" s="13" t="n">
        <v>1</v>
      </c>
      <c r="F49" s="13" t="n">
        <v>1</v>
      </c>
      <c r="G49" s="7">
        <f>C49+D49+E49+F49</f>
        <v/>
      </c>
    </row>
    <row r="50">
      <c r="A50" t="inlineStr">
        <is>
          <t>Seidel Jan</t>
        </is>
      </c>
      <c r="C50">
        <f>'21-22'!G48</f>
        <v/>
      </c>
      <c r="D50" s="13" t="n">
        <v>0</v>
      </c>
      <c r="E50" s="13" t="n">
        <v>0</v>
      </c>
      <c r="F50" s="13" t="n">
        <v>0</v>
      </c>
      <c r="G50" s="7">
        <f>C50+D50+E50+F50</f>
        <v/>
      </c>
    </row>
    <row r="51" customFormat="1" s="4">
      <c r="A51" t="inlineStr">
        <is>
          <t>Staiger Tobias</t>
        </is>
      </c>
      <c r="B51" t="inlineStr">
        <is>
          <t>L</t>
        </is>
      </c>
      <c r="C51">
        <f>'21-22'!G49</f>
        <v/>
      </c>
      <c r="D51" s="13" t="n">
        <v>24</v>
      </c>
      <c r="E51" s="13" t="n">
        <v>0</v>
      </c>
      <c r="F51" s="13" t="n">
        <v>11</v>
      </c>
      <c r="G51" s="7">
        <f>C51+D51+E51+F51</f>
        <v/>
      </c>
    </row>
    <row r="52" customFormat="1" s="4">
      <c r="A52" t="inlineStr">
        <is>
          <t>Stern Alexander</t>
        </is>
      </c>
      <c r="B52" t="inlineStr">
        <is>
          <t>M</t>
        </is>
      </c>
      <c r="C52">
        <f>'21-22'!G50</f>
        <v/>
      </c>
      <c r="D52" s="13" t="n">
        <v>8</v>
      </c>
      <c r="E52" s="13" t="n">
        <v>1</v>
      </c>
      <c r="F52" s="13" t="n">
        <v>2</v>
      </c>
      <c r="G52" s="7">
        <f>C52+D52+E52+F52</f>
        <v/>
      </c>
    </row>
    <row r="53" customFormat="1" s="4">
      <c r="A53" t="inlineStr">
        <is>
          <t>Strack Julian</t>
        </is>
      </c>
      <c r="C53" t="n">
        <v>0</v>
      </c>
      <c r="D53" s="13" t="n">
        <v>15</v>
      </c>
      <c r="E53" s="13" t="n">
        <v>0</v>
      </c>
      <c r="F53" s="13" t="n">
        <v>6</v>
      </c>
      <c r="G53" s="7">
        <f>C53+D53+E53+F53</f>
        <v/>
      </c>
    </row>
    <row r="54">
      <c r="A54" t="inlineStr">
        <is>
          <t>Thies Yannick</t>
        </is>
      </c>
      <c r="C54">
        <f>'21-22'!G51</f>
        <v/>
      </c>
      <c r="D54" s="13" t="n">
        <v>24</v>
      </c>
      <c r="E54" s="13" t="n">
        <v>1</v>
      </c>
      <c r="F54" s="13" t="n">
        <v>10</v>
      </c>
      <c r="G54" s="7">
        <f>C54+D54+E54+F54</f>
        <v/>
      </c>
    </row>
    <row r="55">
      <c r="A55" t="inlineStr">
        <is>
          <t>Tramnitz Christoph</t>
        </is>
      </c>
      <c r="B55" t="inlineStr">
        <is>
          <t>L</t>
        </is>
      </c>
      <c r="C55">
        <f>'21-22'!G52</f>
        <v/>
      </c>
      <c r="D55" s="13" t="n">
        <v>23</v>
      </c>
      <c r="E55" s="13" t="n">
        <v>2</v>
      </c>
      <c r="F55" s="13" t="n">
        <v>4</v>
      </c>
      <c r="G55" s="7">
        <f>C55+D55+E55+F55</f>
        <v/>
      </c>
    </row>
    <row r="56">
      <c r="A56" t="inlineStr">
        <is>
          <t>Tramnitz Lukas</t>
        </is>
      </c>
      <c r="B56" t="inlineStr">
        <is>
          <t>L</t>
        </is>
      </c>
      <c r="C56">
        <f>'21-22'!G53</f>
        <v/>
      </c>
      <c r="D56" s="13" t="n">
        <v>22</v>
      </c>
      <c r="E56" s="13" t="n">
        <v>0</v>
      </c>
      <c r="F56" s="13" t="n">
        <v>9</v>
      </c>
      <c r="G56" s="7">
        <f>C56+D56+E56+F56</f>
        <v/>
      </c>
    </row>
    <row r="57">
      <c r="A57" t="inlineStr">
        <is>
          <t>Verino Roberto</t>
        </is>
      </c>
      <c r="B57" t="inlineStr">
        <is>
          <t>M</t>
        </is>
      </c>
      <c r="C57">
        <f>'21-22'!G54</f>
        <v/>
      </c>
      <c r="D57" s="13" t="n">
        <v>24</v>
      </c>
      <c r="E57" s="13" t="n">
        <v>0</v>
      </c>
      <c r="F57" s="13" t="n">
        <v>7</v>
      </c>
      <c r="G57" s="7">
        <f>C57+D57+E57+F57</f>
        <v/>
      </c>
    </row>
    <row r="58">
      <c r="D58" s="13" t="n"/>
      <c r="E58" s="13" t="n"/>
      <c r="F58" s="13" t="n"/>
      <c r="G58" s="7" t="n"/>
    </row>
    <row r="60">
      <c r="A60" s="10" t="inlineStr">
        <is>
          <t>Anzahl Spieler</t>
        </is>
      </c>
      <c r="B60" s="10" t="n"/>
      <c r="C60" s="11" t="n"/>
      <c r="D60" s="10">
        <f>COUNT(D6:D57)</f>
        <v/>
      </c>
      <c r="E60" s="10">
        <f>COUNT(E6:E57)</f>
        <v/>
      </c>
      <c r="F60" s="10">
        <f>COUNT(F6:F57)</f>
        <v/>
      </c>
      <c r="G60" s="10" t="n"/>
    </row>
    <row r="61">
      <c r="A61" s="8" t="inlineStr">
        <is>
          <t>Anzahl Tore</t>
        </is>
      </c>
      <c r="B61" s="8" t="n"/>
      <c r="C61" s="9" t="n"/>
      <c r="D61" s="8">
        <f>SUM(D6:D55)</f>
        <v/>
      </c>
      <c r="E61" s="8">
        <f>SUM(E6:E55)</f>
        <v/>
      </c>
      <c r="F61" s="8">
        <f>SUM(F6:F55)</f>
        <v/>
      </c>
      <c r="G61" s="8" t="n"/>
    </row>
    <row r="64">
      <c r="A64" t="inlineStr">
        <is>
          <t xml:space="preserve"> </t>
        </is>
      </c>
    </row>
  </sheetData>
  <mergeCells count="1">
    <mergeCell ref="E1:G1"/>
  </mergeCells>
  <printOptions gridLines="1"/>
  <pageMargins left="0.48" right="0.19" top="0.43" bottom="0.48" header="0.34" footer="0.25"/>
  <pageSetup orientation="landscape" paperSize="8" scale="87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67"/>
  <sheetViews>
    <sheetView view="pageBreakPreview" zoomScaleNormal="25" zoomScaleSheetLayoutView="100" workbookViewId="0">
      <pane ySplit="2" topLeftCell="A3" activePane="bottomLeft" state="frozen"/>
      <selection activeCell="A7" sqref="A7"/>
      <selection pane="bottomLeft" activeCell="G23" sqref="G23"/>
    </sheetView>
  </sheetViews>
  <sheetFormatPr baseColWidth="10" defaultColWidth="9.140625" defaultRowHeight="12.75"/>
  <cols>
    <col width="18.42578125" customWidth="1" style="91" min="1" max="1"/>
    <col width="4.140625" customWidth="1" style="91" min="2" max="2"/>
    <col width="5.42578125" customWidth="1" style="91" min="3" max="3"/>
    <col width="10.7109375" customWidth="1" style="91" min="4" max="6"/>
    <col width="36.5703125" customWidth="1" style="91" min="7" max="7"/>
    <col width="5.85546875" bestFit="1" customWidth="1" style="91" min="8" max="8"/>
    <col width="5.85546875" customWidth="1" style="91" min="9" max="9"/>
    <col width="5.42578125" bestFit="1" customWidth="1" style="91" min="10" max="10"/>
  </cols>
  <sheetData>
    <row r="1" ht="36.75" customHeight="1" s="91">
      <c r="A1" t="inlineStr">
        <is>
          <t>Stand: 03.06.2024</t>
        </is>
      </c>
      <c r="E1" s="99" t="inlineStr">
        <is>
          <t>Saison 23/24</t>
        </is>
      </c>
    </row>
    <row r="2" ht="79.5" customHeight="1" s="91">
      <c r="A2" s="8" t="n"/>
      <c r="B2" s="8" t="n"/>
      <c r="C2" s="9" t="n"/>
      <c r="D2" s="2" t="inlineStr">
        <is>
          <t>Punktspiel</t>
        </is>
      </c>
      <c r="E2" s="2" t="inlineStr">
        <is>
          <t>Pokalspiele</t>
        </is>
      </c>
      <c r="F2" s="2" t="inlineStr">
        <is>
          <t>Freundschaftsspiele</t>
        </is>
      </c>
      <c r="G2" s="6" t="inlineStr">
        <is>
          <t>Spiele gesamt</t>
        </is>
      </c>
    </row>
    <row r="3" ht="12.75" customHeight="1" s="91">
      <c r="A3" s="92" t="inlineStr">
        <is>
          <t>Auber, Manuel</t>
        </is>
      </c>
      <c r="C3">
        <f>'22-23'!G3</f>
        <v/>
      </c>
      <c r="D3" s="13" t="n">
        <v>21</v>
      </c>
      <c r="E3" s="13" t="n">
        <v>1</v>
      </c>
      <c r="F3" s="13" t="n">
        <v>3</v>
      </c>
      <c r="G3" s="7">
        <f>C3+D3+E3+F3</f>
        <v/>
      </c>
    </row>
    <row r="4" ht="12.75" customHeight="1" s="91">
      <c r="A4" s="92" t="inlineStr">
        <is>
          <t>Auber, Daniel</t>
        </is>
      </c>
      <c r="C4">
        <f>'22-23'!G4</f>
        <v/>
      </c>
      <c r="D4" s="13" t="n">
        <v>29</v>
      </c>
      <c r="E4" s="13" t="n">
        <v>2</v>
      </c>
      <c r="F4" s="13" t="n">
        <v>10</v>
      </c>
      <c r="G4" s="7">
        <f>C4+D4+E4+F4</f>
        <v/>
      </c>
    </row>
    <row r="5" ht="12.75" customHeight="1" s="91">
      <c r="A5" s="92" t="inlineStr">
        <is>
          <t>Auber, David</t>
        </is>
      </c>
      <c r="C5">
        <f>'22-23'!G5</f>
        <v/>
      </c>
      <c r="D5" s="13" t="n">
        <v>26</v>
      </c>
      <c r="E5" s="13" t="n">
        <v>0</v>
      </c>
      <c r="F5" s="13" t="n">
        <v>8</v>
      </c>
      <c r="G5" s="7">
        <f>C5+D5+E5+F5</f>
        <v/>
      </c>
    </row>
    <row r="6" ht="12.75" customHeight="1" s="91">
      <c r="A6" s="92" t="inlineStr">
        <is>
          <t>Bea, Marc</t>
        </is>
      </c>
      <c r="C6">
        <f>'22-23'!G6</f>
        <v/>
      </c>
      <c r="D6" s="13" t="n">
        <v>22</v>
      </c>
      <c r="E6" s="13" t="n">
        <v>1</v>
      </c>
      <c r="F6" s="13" t="n">
        <v>4</v>
      </c>
      <c r="G6" s="7">
        <f>C6+D6+E6+F6</f>
        <v/>
      </c>
    </row>
    <row r="7" ht="12.75" customFormat="1" customHeight="1" s="4">
      <c r="A7" s="4" t="inlineStr">
        <is>
          <t>Benner, Florian</t>
        </is>
      </c>
      <c r="B7" s="4" t="inlineStr">
        <is>
          <t>M</t>
        </is>
      </c>
      <c r="C7" s="4">
        <f>'22-23'!G7</f>
        <v/>
      </c>
      <c r="D7" s="14" t="n">
        <v>10</v>
      </c>
      <c r="E7" s="14" t="n">
        <v>1</v>
      </c>
      <c r="F7" s="14" t="n">
        <v>2</v>
      </c>
      <c r="G7" s="5">
        <f>C7+D7+E7+F7</f>
        <v/>
      </c>
    </row>
    <row r="8" ht="12.75" customFormat="1" customHeight="1" s="15">
      <c r="A8" s="15" t="inlineStr">
        <is>
          <t>Binnig Andre</t>
        </is>
      </c>
      <c r="B8" s="15" t="inlineStr">
        <is>
          <t>L</t>
        </is>
      </c>
      <c r="C8" s="15">
        <f>'22-23'!G8</f>
        <v/>
      </c>
      <c r="D8" s="16" t="n">
        <v>18</v>
      </c>
      <c r="E8" s="16" t="n">
        <v>1</v>
      </c>
      <c r="F8" s="16" t="n">
        <v>3</v>
      </c>
      <c r="G8" s="17">
        <f>C8+D8+E8+F8</f>
        <v/>
      </c>
    </row>
    <row r="9">
      <c r="A9" t="inlineStr">
        <is>
          <t>Bosch M.</t>
        </is>
      </c>
      <c r="B9" t="inlineStr">
        <is>
          <t>L</t>
        </is>
      </c>
      <c r="C9">
        <f>'22-23'!G9</f>
        <v/>
      </c>
      <c r="D9" s="13" t="n">
        <v>0</v>
      </c>
      <c r="E9" s="13" t="n">
        <v>0</v>
      </c>
      <c r="F9" s="13" t="n">
        <v>0</v>
      </c>
      <c r="G9" s="7">
        <f>C9+D9+E9+F9</f>
        <v/>
      </c>
    </row>
    <row r="10">
      <c r="A10" t="inlineStr">
        <is>
          <t>Broghammer Marcel</t>
        </is>
      </c>
      <c r="C10">
        <f>'22-23'!G10</f>
        <v/>
      </c>
      <c r="D10" s="13" t="n">
        <v>25</v>
      </c>
      <c r="E10" s="13" t="n">
        <v>1</v>
      </c>
      <c r="F10" s="13" t="n">
        <v>7</v>
      </c>
      <c r="G10" s="7">
        <f>C10+D10+E10+F10</f>
        <v/>
      </c>
    </row>
    <row r="11" ht="12.75" customFormat="1" customHeight="1" s="18">
      <c r="A11" s="18" t="inlineStr">
        <is>
          <t>Dold Markus</t>
        </is>
      </c>
      <c r="B11" s="18" t="inlineStr">
        <is>
          <t>M</t>
        </is>
      </c>
      <c r="C11" s="18">
        <f>'22-23'!G11</f>
        <v/>
      </c>
      <c r="D11" s="19" t="n">
        <v>28</v>
      </c>
      <c r="E11" s="19" t="n">
        <v>1</v>
      </c>
      <c r="F11" s="19" t="n">
        <v>4</v>
      </c>
      <c r="G11" s="20">
        <f>C11+D11+E11+F11</f>
        <v/>
      </c>
    </row>
    <row r="12">
      <c r="A12" t="inlineStr">
        <is>
          <t>Ebert M.</t>
        </is>
      </c>
      <c r="B12" t="inlineStr">
        <is>
          <t>M</t>
        </is>
      </c>
      <c r="C12">
        <f>'22-23'!G12</f>
        <v/>
      </c>
      <c r="D12" s="13" t="n">
        <v>0</v>
      </c>
      <c r="E12" s="13" t="n">
        <v>0</v>
      </c>
      <c r="F12" s="13" t="n">
        <v>0</v>
      </c>
      <c r="G12" s="7">
        <f>C12+D12+E12+F12</f>
        <v/>
      </c>
    </row>
    <row r="13" customFormat="1" s="4">
      <c r="A13" s="4" t="inlineStr">
        <is>
          <t>Flaig Elias</t>
        </is>
      </c>
      <c r="C13" s="4">
        <f>'22-23'!G13</f>
        <v/>
      </c>
      <c r="D13" s="14" t="n">
        <v>25</v>
      </c>
      <c r="E13" s="14" t="n">
        <v>2</v>
      </c>
      <c r="F13" s="14" t="n">
        <v>6</v>
      </c>
      <c r="G13" s="5">
        <f>C13+D13+E13+F13</f>
        <v/>
      </c>
    </row>
    <row r="14">
      <c r="A14" t="inlineStr">
        <is>
          <t>Flaig Luis</t>
        </is>
      </c>
      <c r="C14">
        <f>'22-23'!G14</f>
        <v/>
      </c>
      <c r="D14" s="13" t="n">
        <v>27</v>
      </c>
      <c r="E14" s="13" t="n">
        <v>1</v>
      </c>
      <c r="F14" s="13" t="n">
        <v>8</v>
      </c>
      <c r="G14" s="7">
        <f>C14+D14+E14+F14</f>
        <v/>
      </c>
    </row>
    <row r="15">
      <c r="A15" t="inlineStr">
        <is>
          <t>Flaig Tim</t>
        </is>
      </c>
      <c r="C15">
        <f>'22-23'!G15</f>
        <v/>
      </c>
      <c r="D15" s="13" t="n">
        <v>30</v>
      </c>
      <c r="E15" s="13" t="n">
        <v>1</v>
      </c>
      <c r="F15" s="13" t="n">
        <v>5</v>
      </c>
      <c r="G15" s="7">
        <f>C15+D15+E15+F15</f>
        <v/>
      </c>
    </row>
    <row r="16" customFormat="1" s="4">
      <c r="A16" s="4" t="inlineStr">
        <is>
          <t>Fleig Maximilian</t>
        </is>
      </c>
      <c r="C16" s="4">
        <f>'22-23'!G16</f>
        <v/>
      </c>
      <c r="D16" s="14" t="n">
        <v>23</v>
      </c>
      <c r="E16" s="14" t="n">
        <v>1</v>
      </c>
      <c r="F16" s="14" t="n">
        <v>5</v>
      </c>
      <c r="G16" s="5">
        <f>C16+D16+E16+F16</f>
        <v/>
      </c>
    </row>
    <row r="17">
      <c r="A17" t="inlineStr">
        <is>
          <t>Günter Ralf</t>
        </is>
      </c>
      <c r="B17" t="inlineStr">
        <is>
          <t>L</t>
        </is>
      </c>
      <c r="C17">
        <f>'22-23'!G17</f>
        <v/>
      </c>
      <c r="D17" s="13" t="n">
        <v>25</v>
      </c>
      <c r="E17" s="13" t="n">
        <v>0</v>
      </c>
      <c r="F17" s="13" t="n">
        <v>4</v>
      </c>
      <c r="G17" s="7">
        <f>C17+D17+E17+F17</f>
        <v/>
      </c>
    </row>
    <row r="18">
      <c r="A18" t="inlineStr">
        <is>
          <t>Haberstroh Raphael</t>
        </is>
      </c>
      <c r="B18" t="inlineStr">
        <is>
          <t>M</t>
        </is>
      </c>
      <c r="C18">
        <f>'22-23'!G18</f>
        <v/>
      </c>
      <c r="D18" s="13" t="n">
        <v>11</v>
      </c>
      <c r="E18" s="13" t="n">
        <v>0</v>
      </c>
      <c r="F18" s="13" t="n">
        <v>1</v>
      </c>
      <c r="G18" s="7">
        <f>C18+D18+E18+F18</f>
        <v/>
      </c>
    </row>
    <row r="19">
      <c r="A19" s="92" t="inlineStr">
        <is>
          <t>Hauser Marcel</t>
        </is>
      </c>
      <c r="B19" s="92" t="inlineStr">
        <is>
          <t>L</t>
        </is>
      </c>
      <c r="C19">
        <f>'22-23'!G19</f>
        <v/>
      </c>
      <c r="D19" s="13" t="n">
        <v>18</v>
      </c>
      <c r="E19" s="13" t="n">
        <v>0</v>
      </c>
      <c r="F19" s="13" t="n">
        <v>5</v>
      </c>
      <c r="G19" s="7">
        <f>C19+D19+E19+F19</f>
        <v/>
      </c>
    </row>
    <row r="20" customFormat="1" s="4">
      <c r="A20" s="21" t="inlineStr">
        <is>
          <t>Hornberger Christian</t>
        </is>
      </c>
      <c r="B20" s="21" t="n"/>
      <c r="C20" s="4">
        <f>'22-23'!G20</f>
        <v/>
      </c>
      <c r="D20" s="14" t="n">
        <v>30</v>
      </c>
      <c r="E20" s="14" t="n">
        <v>1</v>
      </c>
      <c r="F20" s="14" t="n">
        <v>7</v>
      </c>
      <c r="G20" s="5">
        <f>C20+D20+E20+F20</f>
        <v/>
      </c>
    </row>
    <row r="21">
      <c r="A21" s="92" t="inlineStr">
        <is>
          <t>Jawadi, Ahmad</t>
        </is>
      </c>
      <c r="B21" s="92" t="n"/>
      <c r="C21">
        <f>'22-23'!G21</f>
        <v/>
      </c>
      <c r="D21" s="13" t="n">
        <v>0</v>
      </c>
      <c r="E21" s="13" t="n">
        <v>0</v>
      </c>
      <c r="F21" s="13" t="n">
        <v>1</v>
      </c>
      <c r="G21" s="7">
        <f>C21+D21+E21+F21</f>
        <v/>
      </c>
    </row>
    <row r="22">
      <c r="A22" s="92" t="inlineStr">
        <is>
          <t>Jauch Joachim</t>
        </is>
      </c>
      <c r="B22" s="92" t="n"/>
      <c r="C22">
        <f>'22-23'!G22</f>
        <v/>
      </c>
      <c r="D22" s="13" t="n">
        <v>0</v>
      </c>
      <c r="E22" s="13" t="n">
        <v>0</v>
      </c>
      <c r="F22" s="13" t="n">
        <v>0</v>
      </c>
      <c r="G22" s="7">
        <f>C22+D22+E22+F22</f>
        <v/>
      </c>
    </row>
    <row r="23">
      <c r="A23" s="92" t="inlineStr">
        <is>
          <t>Katzer Florian</t>
        </is>
      </c>
      <c r="B23" s="92" t="n"/>
      <c r="C23">
        <f>'22-23'!G23</f>
        <v/>
      </c>
      <c r="D23" s="13" t="n">
        <v>1</v>
      </c>
      <c r="E23" s="13" t="n">
        <v>0</v>
      </c>
      <c r="F23" s="13" t="n">
        <v>3</v>
      </c>
      <c r="G23" s="7">
        <f>C23+D23+E23+F23</f>
        <v/>
      </c>
    </row>
    <row r="24">
      <c r="A24" s="92" t="inlineStr">
        <is>
          <t>Keller Fabian</t>
        </is>
      </c>
      <c r="B24" s="92" t="n"/>
      <c r="D24" s="13" t="n">
        <v>2</v>
      </c>
      <c r="E24" s="13" t="n"/>
      <c r="F24" s="13" t="n"/>
      <c r="G24" s="7" t="n"/>
    </row>
    <row r="25">
      <c r="A25" t="inlineStr">
        <is>
          <t>Kimmich Simeon</t>
        </is>
      </c>
      <c r="C25">
        <f>'22-23'!G24</f>
        <v/>
      </c>
      <c r="D25" s="13" t="n">
        <v>28</v>
      </c>
      <c r="E25" s="13" t="n">
        <v>1</v>
      </c>
      <c r="F25" s="13" t="n">
        <v>5</v>
      </c>
      <c r="G25" s="7">
        <f>C25+D25+E25+F25</f>
        <v/>
      </c>
    </row>
    <row r="26">
      <c r="A26" s="92" t="inlineStr">
        <is>
          <t>Kuner Andreas</t>
        </is>
      </c>
      <c r="C26">
        <f>'22-23'!G25</f>
        <v/>
      </c>
      <c r="D26" s="13" t="n">
        <v>23</v>
      </c>
      <c r="E26" s="13" t="n">
        <v>1</v>
      </c>
      <c r="F26" s="13" t="n">
        <v>3</v>
      </c>
      <c r="G26" s="7">
        <f>C26+D26+E26+F26</f>
        <v/>
      </c>
    </row>
    <row r="27">
      <c r="A27" s="92" t="inlineStr">
        <is>
          <t>Kunz Holger</t>
        </is>
      </c>
      <c r="C27" t="n">
        <v>0</v>
      </c>
      <c r="D27" s="13" t="n">
        <v>27</v>
      </c>
      <c r="E27" s="13" t="n">
        <v>1</v>
      </c>
      <c r="F27" s="13" t="n">
        <v>3</v>
      </c>
      <c r="G27" s="7">
        <f>C27+D27+E27+F27</f>
        <v/>
      </c>
    </row>
    <row r="28">
      <c r="A28" s="92" t="inlineStr">
        <is>
          <t>Kobel Michael</t>
        </is>
      </c>
      <c r="C28">
        <f>'22-23'!G26</f>
        <v/>
      </c>
      <c r="D28" s="13" t="n">
        <v>17</v>
      </c>
      <c r="E28" s="13" t="n">
        <v>0</v>
      </c>
      <c r="F28" s="13" t="n">
        <v>2</v>
      </c>
      <c r="G28" s="7">
        <f>C28+D28+E28+F28</f>
        <v/>
      </c>
    </row>
    <row r="29">
      <c r="A29" t="inlineStr">
        <is>
          <t>Klein Daniel</t>
        </is>
      </c>
      <c r="B29" t="inlineStr">
        <is>
          <t>M</t>
        </is>
      </c>
      <c r="C29">
        <f>'22-23'!G27</f>
        <v/>
      </c>
      <c r="D29" s="13" t="n">
        <v>9</v>
      </c>
      <c r="E29" s="13" t="n">
        <v>0</v>
      </c>
      <c r="F29" s="13" t="n">
        <v>2</v>
      </c>
      <c r="G29" s="7">
        <f>C29+D29+E29+F29</f>
        <v/>
      </c>
    </row>
    <row r="30">
      <c r="A30" t="inlineStr">
        <is>
          <t>Klukas Pascal</t>
        </is>
      </c>
      <c r="C30">
        <f>'22-23'!G28</f>
        <v/>
      </c>
      <c r="D30" s="13" t="n">
        <v>29</v>
      </c>
      <c r="E30" s="13" t="n">
        <v>1</v>
      </c>
      <c r="F30" s="13" t="n">
        <v>3</v>
      </c>
      <c r="G30" s="7">
        <f>C30+D30+E30+F30</f>
        <v/>
      </c>
    </row>
    <row r="31">
      <c r="A31" t="inlineStr">
        <is>
          <t>Letzel Marvin</t>
        </is>
      </c>
      <c r="C31">
        <f>'22-23'!G29</f>
        <v/>
      </c>
      <c r="D31" s="13" t="n">
        <v>0</v>
      </c>
      <c r="E31" s="13" t="n">
        <v>0</v>
      </c>
      <c r="F31" s="13" t="n">
        <v>0</v>
      </c>
      <c r="G31" s="7">
        <f>C31+D31+E31+F31</f>
        <v/>
      </c>
    </row>
    <row r="32" customFormat="1" s="4">
      <c r="A32" s="4" t="inlineStr">
        <is>
          <t>Linder Andreas</t>
        </is>
      </c>
      <c r="B32" s="4" t="inlineStr">
        <is>
          <t>L</t>
        </is>
      </c>
      <c r="C32" s="4">
        <f>'22-23'!G30</f>
        <v/>
      </c>
      <c r="D32" s="14" t="n">
        <v>12</v>
      </c>
      <c r="E32" s="14" t="n">
        <v>1</v>
      </c>
      <c r="F32" s="14" t="n">
        <v>3</v>
      </c>
      <c r="G32" s="5">
        <f>C32+D32+E32+F32</f>
        <v/>
      </c>
    </row>
    <row r="33">
      <c r="A33" t="inlineStr">
        <is>
          <t>Lobert Marius</t>
        </is>
      </c>
      <c r="C33">
        <f>'22-23'!G31</f>
        <v/>
      </c>
      <c r="D33" s="13" t="n">
        <v>25</v>
      </c>
      <c r="E33" s="13" t="n">
        <v>2</v>
      </c>
      <c r="F33" s="13" t="n">
        <v>3</v>
      </c>
      <c r="G33" s="7">
        <f>C33+D33+E33+F33</f>
        <v/>
      </c>
    </row>
    <row r="34">
      <c r="A34" t="inlineStr">
        <is>
          <t>Löffler Marius</t>
        </is>
      </c>
      <c r="B34" t="inlineStr">
        <is>
          <t>L</t>
        </is>
      </c>
      <c r="C34">
        <f>'22-23'!G32</f>
        <v/>
      </c>
      <c r="D34" s="13" t="n">
        <v>15</v>
      </c>
      <c r="E34" s="13" t="n">
        <v>1</v>
      </c>
      <c r="F34" s="13" t="n">
        <v>1</v>
      </c>
      <c r="G34" s="7">
        <f>C34+D34+E34+F34</f>
        <v/>
      </c>
    </row>
    <row r="35">
      <c r="A35" t="inlineStr">
        <is>
          <t>Marte Marvin</t>
        </is>
      </c>
      <c r="B35" t="inlineStr">
        <is>
          <t>M</t>
        </is>
      </c>
      <c r="C35">
        <f>'22-23'!G33</f>
        <v/>
      </c>
      <c r="D35" s="13" t="n">
        <v>0</v>
      </c>
      <c r="E35" s="13" t="n">
        <v>0</v>
      </c>
      <c r="F35" s="13" t="n">
        <v>0</v>
      </c>
      <c r="G35" s="7">
        <f>C35+D35+E35+F35</f>
        <v/>
      </c>
    </row>
    <row r="36">
      <c r="A36" t="inlineStr">
        <is>
          <t>Müller Andre</t>
        </is>
      </c>
      <c r="B36" t="inlineStr">
        <is>
          <t>M</t>
        </is>
      </c>
      <c r="C36">
        <f>'22-23'!G34</f>
        <v/>
      </c>
      <c r="D36" s="13" t="n">
        <v>6</v>
      </c>
      <c r="E36" s="13" t="n">
        <v>1</v>
      </c>
      <c r="F36" s="13" t="n">
        <v>2</v>
      </c>
      <c r="G36" s="7">
        <f>C36+D36+E36+F36</f>
        <v/>
      </c>
    </row>
    <row r="37" customFormat="1" s="23">
      <c r="A37" s="22" t="inlineStr">
        <is>
          <t>Müller Felix</t>
        </is>
      </c>
      <c r="B37" s="22" t="inlineStr">
        <is>
          <t>L</t>
        </is>
      </c>
      <c r="C37" s="23">
        <f>'22-23'!G35</f>
        <v/>
      </c>
      <c r="D37" s="24" t="n">
        <v>21</v>
      </c>
      <c r="E37" s="24" t="n">
        <v>1</v>
      </c>
      <c r="F37" s="24" t="n">
        <v>5</v>
      </c>
      <c r="G37" s="25">
        <f>C37+D37+E37+F37</f>
        <v/>
      </c>
    </row>
    <row r="38">
      <c r="A38" t="inlineStr">
        <is>
          <t>Müller Thorsten</t>
        </is>
      </c>
      <c r="B38" t="inlineStr">
        <is>
          <t>M</t>
        </is>
      </c>
      <c r="C38">
        <f>'22-23'!G36</f>
        <v/>
      </c>
      <c r="D38" s="13" t="n">
        <v>5</v>
      </c>
      <c r="E38" s="13" t="n">
        <v>0</v>
      </c>
      <c r="F38" s="13" t="n">
        <v>0</v>
      </c>
      <c r="G38" s="7">
        <f>C38+D38+E38+F38</f>
        <v/>
      </c>
    </row>
    <row r="39">
      <c r="A39" t="inlineStr">
        <is>
          <t>Müller Moritz</t>
        </is>
      </c>
      <c r="C39">
        <f>'22-23'!G37</f>
        <v/>
      </c>
      <c r="D39" s="13" t="n">
        <v>11</v>
      </c>
      <c r="E39" s="13" t="n">
        <v>0</v>
      </c>
      <c r="F39" s="13" t="n">
        <v>3</v>
      </c>
      <c r="G39" s="7">
        <f>C39+D39+E39+F39</f>
        <v/>
      </c>
    </row>
    <row r="40">
      <c r="A40" t="inlineStr">
        <is>
          <t>Neumaier Tizian</t>
        </is>
      </c>
      <c r="C40">
        <f>'22-23'!G38</f>
        <v/>
      </c>
      <c r="D40" s="13" t="n">
        <v>0</v>
      </c>
      <c r="E40" s="13" t="n">
        <v>0</v>
      </c>
      <c r="F40" s="13" t="n">
        <v>0</v>
      </c>
      <c r="G40" s="7">
        <f>C40+D40+E40+F40</f>
        <v/>
      </c>
    </row>
    <row r="41">
      <c r="A41" t="inlineStr">
        <is>
          <t>Palmer Lukas</t>
        </is>
      </c>
      <c r="C41">
        <f>'22-23'!G39</f>
        <v/>
      </c>
      <c r="D41" s="13" t="n">
        <v>0</v>
      </c>
      <c r="E41" s="13" t="n">
        <v>0</v>
      </c>
      <c r="F41" s="13" t="n">
        <v>0</v>
      </c>
      <c r="G41" s="7">
        <f>C41+D41+E41+F41</f>
        <v/>
      </c>
    </row>
    <row r="42">
      <c r="A42" t="inlineStr">
        <is>
          <t>Palmer Micha</t>
        </is>
      </c>
      <c r="C42">
        <f>'22-23'!G40</f>
        <v/>
      </c>
      <c r="D42" s="13" t="n">
        <v>21</v>
      </c>
      <c r="E42" s="13" t="n">
        <v>0</v>
      </c>
      <c r="F42" s="13" t="n">
        <v>3</v>
      </c>
      <c r="G42" s="7">
        <f>C42+D42+E42+F42</f>
        <v/>
      </c>
    </row>
    <row r="43">
      <c r="A43" t="inlineStr">
        <is>
          <t>Pfundstein Andreas</t>
        </is>
      </c>
      <c r="B43" t="inlineStr">
        <is>
          <t>L</t>
        </is>
      </c>
      <c r="C43">
        <f>'22-23'!G41</f>
        <v/>
      </c>
      <c r="D43" s="13" t="n">
        <v>8</v>
      </c>
      <c r="E43" s="13" t="n">
        <v>1</v>
      </c>
      <c r="F43" s="13" t="n">
        <v>1</v>
      </c>
      <c r="G43" s="7">
        <f>C43+D43+E43+F43</f>
        <v/>
      </c>
    </row>
    <row r="44">
      <c r="A44" t="inlineStr">
        <is>
          <t>Preuss Jeremias</t>
        </is>
      </c>
      <c r="B44" t="inlineStr">
        <is>
          <t>M</t>
        </is>
      </c>
      <c r="C44">
        <f>'22-23'!G42</f>
        <v/>
      </c>
      <c r="D44" s="13" t="n">
        <v>0</v>
      </c>
      <c r="E44" s="13" t="n">
        <v>0</v>
      </c>
      <c r="F44" s="13" t="n">
        <v>0</v>
      </c>
      <c r="G44" s="7">
        <f>C44+D44+E44+F44</f>
        <v/>
      </c>
    </row>
    <row r="45">
      <c r="A45" t="inlineStr">
        <is>
          <t>Preuss, Jonas</t>
        </is>
      </c>
      <c r="C45">
        <f>'22-23'!G43</f>
        <v/>
      </c>
      <c r="D45" s="13" t="n">
        <v>27</v>
      </c>
      <c r="E45" s="13" t="n">
        <v>1</v>
      </c>
      <c r="F45" s="13" t="n">
        <v>3</v>
      </c>
      <c r="G45" s="7">
        <f>C45+D45+E45+F45</f>
        <v/>
      </c>
    </row>
    <row r="46">
      <c r="A46" t="inlineStr">
        <is>
          <t>Reuter J.</t>
        </is>
      </c>
      <c r="B46" t="inlineStr">
        <is>
          <t>M</t>
        </is>
      </c>
      <c r="C46">
        <f>'22-23'!G44</f>
        <v/>
      </c>
      <c r="D46" s="13" t="n">
        <v>6</v>
      </c>
      <c r="E46" s="13" t="n">
        <v>0</v>
      </c>
      <c r="F46" s="13" t="n">
        <v>2</v>
      </c>
      <c r="G46" s="7">
        <f>C46+D46+E46+F46</f>
        <v/>
      </c>
    </row>
    <row r="47">
      <c r="A47" t="inlineStr">
        <is>
          <t>Ruoff Ulli</t>
        </is>
      </c>
      <c r="B47" t="inlineStr">
        <is>
          <t>L</t>
        </is>
      </c>
      <c r="C47">
        <f>'22-23'!G45</f>
        <v/>
      </c>
      <c r="D47" s="13" t="n">
        <v>0</v>
      </c>
      <c r="E47" s="13" t="n">
        <v>0</v>
      </c>
      <c r="F47" s="13" t="n">
        <v>0</v>
      </c>
      <c r="G47" s="7">
        <f>C47+D47+E47+F47</f>
        <v/>
      </c>
    </row>
    <row r="48" customFormat="1" s="4">
      <c r="A48" s="21" t="inlineStr">
        <is>
          <t>Schaumann Daniel</t>
        </is>
      </c>
      <c r="C48" s="4">
        <f>'22-23'!G46</f>
        <v/>
      </c>
      <c r="D48" s="14" t="n">
        <v>28</v>
      </c>
      <c r="E48" s="14" t="n">
        <v>0</v>
      </c>
      <c r="F48" s="14" t="n">
        <v>5</v>
      </c>
      <c r="G48" s="5">
        <f>C48+D48+E48+F48</f>
        <v/>
      </c>
    </row>
    <row r="49">
      <c r="A49" s="92" t="inlineStr">
        <is>
          <t>Schaumann David</t>
        </is>
      </c>
      <c r="B49" s="92" t="inlineStr">
        <is>
          <t>M</t>
        </is>
      </c>
      <c r="C49">
        <f>'22-23'!G47</f>
        <v/>
      </c>
      <c r="D49" s="13" t="n">
        <v>26</v>
      </c>
      <c r="E49" s="13" t="n">
        <v>1</v>
      </c>
      <c r="F49" s="13" t="n">
        <v>4</v>
      </c>
      <c r="G49" s="7">
        <f>C49+D49+E49+F49</f>
        <v/>
      </c>
    </row>
    <row r="50" customFormat="1" s="18">
      <c r="A50" s="18" t="inlineStr">
        <is>
          <t>Schaumann Seb</t>
        </is>
      </c>
      <c r="B50" s="18" t="inlineStr">
        <is>
          <t>M</t>
        </is>
      </c>
      <c r="C50" s="18">
        <f>'22-23'!G48</f>
        <v/>
      </c>
      <c r="D50" s="19" t="n">
        <v>28</v>
      </c>
      <c r="E50" s="19" t="n">
        <v>1</v>
      </c>
      <c r="F50" s="19" t="n">
        <v>7</v>
      </c>
      <c r="G50" s="20">
        <f>C50+D50+E50+F50</f>
        <v/>
      </c>
    </row>
    <row r="51">
      <c r="A51" t="inlineStr">
        <is>
          <t>Scheck Lucas</t>
        </is>
      </c>
      <c r="C51">
        <f>'22-23'!G49</f>
        <v/>
      </c>
      <c r="D51" s="13" t="n">
        <v>13</v>
      </c>
      <c r="E51" s="13" t="n">
        <v>1</v>
      </c>
      <c r="F51" s="13" t="n">
        <v>4</v>
      </c>
      <c r="G51" s="7">
        <f>C51+D51+E51+F51</f>
        <v/>
      </c>
    </row>
    <row r="52">
      <c r="A52" t="inlineStr">
        <is>
          <t>Seidel Jan</t>
        </is>
      </c>
      <c r="C52">
        <f>'22-23'!G50</f>
        <v/>
      </c>
      <c r="D52" s="13" t="n">
        <v>0</v>
      </c>
      <c r="E52" s="13" t="n">
        <v>0</v>
      </c>
      <c r="F52" s="13" t="n">
        <v>0</v>
      </c>
      <c r="G52" s="7">
        <f>C52+D52+E52+F52</f>
        <v/>
      </c>
    </row>
    <row r="53" customFormat="1" s="26">
      <c r="A53" s="26" t="inlineStr">
        <is>
          <t>Staiger Tobias</t>
        </is>
      </c>
      <c r="B53" s="26" t="inlineStr">
        <is>
          <t>L</t>
        </is>
      </c>
      <c r="C53" s="26">
        <f>'22-23'!G51</f>
        <v/>
      </c>
      <c r="D53" s="27" t="n">
        <v>25</v>
      </c>
      <c r="E53" s="27" t="n">
        <v>1</v>
      </c>
      <c r="F53" s="27" t="n">
        <v>9</v>
      </c>
      <c r="G53" s="28">
        <f>C53+D53+E53+F53</f>
        <v/>
      </c>
    </row>
    <row r="54">
      <c r="A54" t="inlineStr">
        <is>
          <t>Stern Alexander</t>
        </is>
      </c>
      <c r="B54" t="inlineStr">
        <is>
          <t>M</t>
        </is>
      </c>
      <c r="C54">
        <f>'22-23'!G52</f>
        <v/>
      </c>
      <c r="D54" s="13" t="n">
        <v>4</v>
      </c>
      <c r="E54" s="13" t="n">
        <v>0</v>
      </c>
      <c r="F54" s="13" t="n">
        <v>0</v>
      </c>
      <c r="G54" s="7">
        <f>C54+D54+E54+F54</f>
        <v/>
      </c>
    </row>
    <row r="55">
      <c r="A55" t="inlineStr">
        <is>
          <t>Strack Julian</t>
        </is>
      </c>
      <c r="C55">
        <f>'22-23'!G53</f>
        <v/>
      </c>
      <c r="D55" s="13" t="n">
        <v>0</v>
      </c>
      <c r="E55" s="13" t="n">
        <v>0</v>
      </c>
      <c r="F55" s="13" t="n">
        <v>0</v>
      </c>
      <c r="G55" s="7">
        <f>C55+D55+E55+F55</f>
        <v/>
      </c>
    </row>
    <row r="56">
      <c r="A56" t="inlineStr">
        <is>
          <t>Thies Yannick</t>
        </is>
      </c>
      <c r="C56">
        <f>'22-23'!G54</f>
        <v/>
      </c>
      <c r="D56" s="13" t="n">
        <v>0</v>
      </c>
      <c r="E56" s="13" t="n">
        <v>0</v>
      </c>
      <c r="F56" s="13" t="n">
        <v>0</v>
      </c>
      <c r="G56" s="7">
        <f>C56+D56+E56+F56</f>
        <v/>
      </c>
    </row>
    <row r="57">
      <c r="A57" t="inlineStr">
        <is>
          <t>Timbota Daniel</t>
        </is>
      </c>
      <c r="C57" t="n">
        <v>0</v>
      </c>
      <c r="D57" s="13" t="n">
        <v>28</v>
      </c>
      <c r="E57" s="13" t="n">
        <v>1</v>
      </c>
      <c r="F57" s="13" t="n">
        <v>4</v>
      </c>
      <c r="G57" s="7">
        <f>C57+D57+E57+F57</f>
        <v/>
      </c>
    </row>
    <row r="58" customFormat="1" s="15">
      <c r="A58" s="15" t="inlineStr">
        <is>
          <t>Tramnitz Christoph</t>
        </is>
      </c>
      <c r="B58" s="15" t="inlineStr">
        <is>
          <t>L</t>
        </is>
      </c>
      <c r="C58" s="15">
        <f>'22-23'!G55</f>
        <v/>
      </c>
      <c r="D58" s="16" t="n">
        <v>11</v>
      </c>
      <c r="E58" s="16" t="n">
        <v>1</v>
      </c>
      <c r="F58" s="16" t="n">
        <v>2</v>
      </c>
      <c r="G58" s="17">
        <f>C58+D58+E58+F58</f>
        <v/>
      </c>
    </row>
    <row r="59">
      <c r="A59" t="inlineStr">
        <is>
          <t>Tramnitz Lukas</t>
        </is>
      </c>
      <c r="B59" t="inlineStr">
        <is>
          <t>L</t>
        </is>
      </c>
      <c r="C59">
        <f>'22-23'!G56</f>
        <v/>
      </c>
      <c r="D59" s="13" t="n">
        <v>0</v>
      </c>
      <c r="E59" s="13" t="n">
        <v>0</v>
      </c>
      <c r="F59" s="13" t="n">
        <v>2</v>
      </c>
      <c r="G59" s="7">
        <f>C59+D59+E59+F59</f>
        <v/>
      </c>
    </row>
    <row r="60" customFormat="1" s="18">
      <c r="A60" s="18" t="inlineStr">
        <is>
          <t>Verino Roberto</t>
        </is>
      </c>
      <c r="B60" s="18" t="inlineStr">
        <is>
          <t>M</t>
        </is>
      </c>
      <c r="C60" s="18">
        <f>'22-23'!G57</f>
        <v/>
      </c>
      <c r="D60" s="19" t="n">
        <v>19</v>
      </c>
      <c r="E60" s="19" t="n">
        <v>0</v>
      </c>
      <c r="F60" s="19" t="n">
        <v>8</v>
      </c>
      <c r="G60" s="20">
        <f>C60+D60+E60+F60</f>
        <v/>
      </c>
    </row>
    <row r="61">
      <c r="D61" s="13" t="n"/>
      <c r="E61" s="13" t="n"/>
      <c r="F61" s="13" t="n"/>
      <c r="G61" s="7" t="n"/>
    </row>
    <row r="63">
      <c r="A63" s="10" t="inlineStr">
        <is>
          <t>Anzahl Spieler</t>
        </is>
      </c>
      <c r="B63" s="10" t="n"/>
      <c r="C63" s="11" t="n"/>
      <c r="D63" s="10">
        <f>COUNT(D6:D60)</f>
        <v/>
      </c>
      <c r="E63" s="10">
        <f>COUNT(E6:E60)</f>
        <v/>
      </c>
      <c r="F63" s="10">
        <f>COUNT(F6:F60)</f>
        <v/>
      </c>
      <c r="G63" s="10" t="n"/>
    </row>
    <row r="64">
      <c r="A64" s="8" t="inlineStr">
        <is>
          <t>Anzahl Tore</t>
        </is>
      </c>
      <c r="B64" s="8" t="n"/>
      <c r="C64" s="9" t="n"/>
      <c r="D64" s="8">
        <f>SUM(D6:D58)</f>
        <v/>
      </c>
      <c r="E64" s="8">
        <f>SUM(E6:E58)</f>
        <v/>
      </c>
      <c r="F64" s="8">
        <f>SUM(F6:F58)</f>
        <v/>
      </c>
      <c r="G64" s="8" t="n"/>
    </row>
    <row r="67">
      <c r="A67" t="inlineStr">
        <is>
          <t xml:space="preserve"> </t>
        </is>
      </c>
    </row>
  </sheetData>
  <mergeCells count="1">
    <mergeCell ref="E1:G1"/>
  </mergeCells>
  <printOptions gridLines="1"/>
  <pageMargins left="0.48" right="0.19" top="0.43" bottom="0.48" header="0.34" footer="0.25"/>
  <pageSetup orientation="landscape" paperSize="8" scale="84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C10" sqref="C10"/>
    </sheetView>
  </sheetViews>
  <sheetFormatPr baseColWidth="10" defaultColWidth="11.42578125" defaultRowHeight="12.75" customHeight="1"/>
  <cols>
    <col width="20.28515625" customWidth="1" style="91" min="1" max="1"/>
    <col width="15.42578125" customWidth="1" style="91" min="2" max="2"/>
    <col width="13.5703125" customWidth="1" style="91" min="3" max="4"/>
    <col width="13.28515625" customWidth="1" style="91" min="5" max="6"/>
    <col width="12.5703125" customWidth="1" style="91" min="7" max="8"/>
  </cols>
  <sheetData>
    <row r="1" ht="23.45" customHeight="1" s="91">
      <c r="A1" s="36" t="n"/>
      <c r="B1" s="88" t="inlineStr">
        <is>
          <t>Saison 2024/25</t>
        </is>
      </c>
      <c r="C1" s="87" t="n"/>
      <c r="D1" s="87" t="n"/>
      <c r="E1" s="29" t="n"/>
      <c r="F1" s="29" t="n"/>
      <c r="G1" s="29" t="n"/>
      <c r="H1" s="29" t="n"/>
      <c r="I1" s="29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</row>
    <row r="2" ht="23.45" customHeight="1" s="91">
      <c r="A2" s="36" t="n"/>
      <c r="B2" s="34" t="n"/>
      <c r="C2" s="34" t="n"/>
      <c r="D2" s="29" t="n"/>
      <c r="E2" s="29" t="n"/>
      <c r="F2" s="29" t="n"/>
      <c r="G2" s="29" t="n"/>
      <c r="H2" s="29" t="n"/>
      <c r="I2" s="29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</row>
    <row r="3" ht="23.45" customHeight="1" s="91">
      <c r="A3" s="35" t="n"/>
      <c r="B3" s="86" t="inlineStr">
        <is>
          <t>Spielerliste</t>
        </is>
      </c>
      <c r="C3" s="87" t="n"/>
      <c r="D3" s="87" t="n"/>
      <c r="E3" s="29" t="n"/>
      <c r="F3" s="29" t="n"/>
      <c r="G3" s="29" t="n"/>
      <c r="H3" s="29" t="n"/>
      <c r="I3" s="37" t="inlineStr">
        <is>
          <t>Ehrung:</t>
        </is>
      </c>
      <c r="J3" s="39" t="n">
        <v>150</v>
      </c>
      <c r="K3" s="39" t="n">
        <v>200</v>
      </c>
      <c r="L3" s="39" t="n">
        <v>250</v>
      </c>
      <c r="M3" s="39" t="n">
        <v>300</v>
      </c>
      <c r="N3" s="39" t="n">
        <v>350</v>
      </c>
      <c r="O3" s="39" t="n">
        <v>400</v>
      </c>
      <c r="P3" s="39" t="n">
        <v>450</v>
      </c>
      <c r="Q3" s="39" t="n">
        <v>500</v>
      </c>
      <c r="R3" s="39" t="n">
        <v>550</v>
      </c>
    </row>
    <row r="4" ht="22.5" customHeight="1" s="91">
      <c r="A4" s="35" t="n"/>
      <c r="B4" s="86" t="inlineStr">
        <is>
          <t>Stand 31.05.2025</t>
        </is>
      </c>
      <c r="C4" s="87" t="n"/>
      <c r="D4" s="87" t="n"/>
      <c r="E4" s="29" t="n"/>
      <c r="F4" s="29" t="n"/>
      <c r="G4" s="29" t="n"/>
      <c r="H4" s="29" t="n"/>
      <c r="I4" s="37" t="inlineStr">
        <is>
          <t>Anzahl:</t>
        </is>
      </c>
      <c r="J4" s="38">
        <f>COUNTIF($I$8:$I$58,"150")</f>
        <v/>
      </c>
      <c r="K4" s="38">
        <f>COUNTIF($I$8:$I$58,"200")</f>
        <v/>
      </c>
      <c r="L4" s="38">
        <f>COUNTIF($I$8:$I$58,"250")</f>
        <v/>
      </c>
      <c r="M4" s="38">
        <f>COUNTIF($I$8:$I$58,"300")</f>
        <v/>
      </c>
      <c r="N4" s="38">
        <f>COUNTIF($I$8:$I$58,"350")</f>
        <v/>
      </c>
      <c r="O4" s="38">
        <f>COUNTIF($I$8:$I$58,"400")</f>
        <v/>
      </c>
      <c r="P4" s="38">
        <f>COUNTIF($I$8:$I$58,"450")</f>
        <v/>
      </c>
      <c r="Q4" s="38">
        <f>COUNTIF($I$8:$I$58,"500")</f>
        <v/>
      </c>
      <c r="R4" s="38">
        <f>COUNTIF($I$8:$I$58,"550")</f>
        <v/>
      </c>
    </row>
    <row r="5" ht="22.5" customHeight="1" s="91">
      <c r="A5" s="35" t="n"/>
      <c r="B5" s="86" t="n"/>
      <c r="C5" s="86" t="n"/>
      <c r="D5" s="86" t="n"/>
      <c r="E5" s="29" t="n"/>
      <c r="F5" s="29" t="n"/>
      <c r="G5" s="29" t="n"/>
      <c r="H5" s="29" t="n"/>
      <c r="I5" s="29" t="n"/>
      <c r="J5" s="38" t="n"/>
      <c r="K5" s="38" t="n"/>
      <c r="L5" s="38" t="n"/>
      <c r="M5" s="38" t="n"/>
      <c r="N5" s="38" t="n"/>
      <c r="O5" s="38" t="n"/>
      <c r="P5" s="38" t="n"/>
      <c r="Q5" s="38" t="n"/>
      <c r="R5" s="38" t="n"/>
    </row>
    <row r="6" ht="23.45" customHeight="1" s="91">
      <c r="A6" s="36" t="n"/>
      <c r="B6" s="89" t="inlineStr">
        <is>
          <t>Anzahl
Spiele</t>
        </is>
      </c>
      <c r="C6" s="30" t="n"/>
      <c r="D6" s="29" t="n"/>
      <c r="E6" s="29" t="n"/>
      <c r="F6" s="29" t="n"/>
      <c r="G6" s="29" t="n"/>
      <c r="H6" s="89" t="inlineStr">
        <is>
          <t>Anzahl
Spiele</t>
        </is>
      </c>
      <c r="I6" s="29" t="n"/>
      <c r="J6" s="38" t="n"/>
      <c r="K6" s="38" t="n"/>
      <c r="L6" s="38" t="n"/>
      <c r="M6" s="38" t="n"/>
      <c r="N6" s="38" t="n"/>
      <c r="O6" s="38" t="n"/>
      <c r="P6" s="38" t="n"/>
      <c r="Q6" s="38" t="n"/>
      <c r="R6" s="38" t="n"/>
    </row>
    <row r="7" ht="13.9" customHeight="1" s="91">
      <c r="A7" s="35" t="n"/>
      <c r="B7" s="87" t="n"/>
      <c r="C7" s="31" t="inlineStr">
        <is>
          <t>Punktspiel</t>
        </is>
      </c>
      <c r="D7" s="31" t="inlineStr">
        <is>
          <t>Pokalspiel</t>
        </is>
      </c>
      <c r="E7" s="31" t="inlineStr">
        <is>
          <t>Testspiel</t>
        </is>
      </c>
      <c r="F7" s="31" t="inlineStr">
        <is>
          <t>Turnier</t>
        </is>
      </c>
      <c r="G7" s="31" t="inlineStr">
        <is>
          <t>Gesamt</t>
        </is>
      </c>
      <c r="H7" s="87" t="n"/>
      <c r="I7" s="31" t="inlineStr">
        <is>
          <t>Ehrung</t>
        </is>
      </c>
      <c r="J7" s="38" t="n"/>
      <c r="K7" s="38" t="n"/>
      <c r="L7" s="38" t="n"/>
      <c r="M7" s="38" t="n"/>
      <c r="N7" s="38" t="n"/>
      <c r="O7" s="38" t="n"/>
      <c r="P7" s="38" t="n"/>
      <c r="Q7" s="38" t="n"/>
      <c r="R7" s="38" t="n"/>
    </row>
    <row r="8" ht="13.15" customHeight="1" s="91">
      <c r="A8" s="92" t="inlineStr">
        <is>
          <t>Auber, Daniel</t>
        </is>
      </c>
      <c r="B8" t="n">
        <v>93</v>
      </c>
      <c r="C8" t="n">
        <v>24</v>
      </c>
      <c r="D8" t="n">
        <v>1</v>
      </c>
      <c r="E8" t="n">
        <v>4</v>
      </c>
      <c r="F8" t="n">
        <v>0</v>
      </c>
      <c r="G8">
        <f>SUM(C8:F8)</f>
        <v/>
      </c>
      <c r="H8">
        <f>B8+G8</f>
        <v/>
      </c>
      <c r="I8" s="32" t="n"/>
    </row>
    <row r="9" ht="13.15" customHeight="1" s="91">
      <c r="A9" s="92" t="inlineStr">
        <is>
          <t>Auber, David</t>
        </is>
      </c>
      <c r="B9" t="n">
        <v>75</v>
      </c>
      <c r="C9" t="n">
        <v>27</v>
      </c>
      <c r="D9" t="n">
        <v>1</v>
      </c>
      <c r="E9" t="n">
        <v>4</v>
      </c>
      <c r="F9" t="n">
        <v>0</v>
      </c>
      <c r="G9">
        <f>SUM(C9:F9)</f>
        <v/>
      </c>
      <c r="H9">
        <f>B9+G9</f>
        <v/>
      </c>
      <c r="I9" s="32" t="n"/>
    </row>
    <row r="10" ht="13.15" customHeight="1" s="91">
      <c r="A10" s="92" t="inlineStr">
        <is>
          <t>Auber, Manuel</t>
        </is>
      </c>
      <c r="B10" t="n">
        <v>103</v>
      </c>
      <c r="C10" t="n">
        <v>14</v>
      </c>
      <c r="D10" t="n">
        <v>1</v>
      </c>
      <c r="E10" t="n">
        <v>3</v>
      </c>
      <c r="F10" t="n">
        <v>0</v>
      </c>
      <c r="G10">
        <f>SUM(C10:F10)</f>
        <v/>
      </c>
      <c r="H10">
        <f>B10+G10</f>
        <v/>
      </c>
      <c r="I10" s="32" t="n"/>
    </row>
    <row r="11" ht="13.15" customHeight="1" s="91">
      <c r="A11" s="92" t="inlineStr">
        <is>
          <t>Auber, Matthias</t>
        </is>
      </c>
      <c r="B11" t="n">
        <v>0</v>
      </c>
      <c r="C11" t="n">
        <v>15</v>
      </c>
      <c r="D11" t="n">
        <v>0</v>
      </c>
      <c r="E11" t="n">
        <v>0</v>
      </c>
      <c r="F11" t="n">
        <v>0</v>
      </c>
      <c r="G11">
        <f>SUM(C11:F11)</f>
        <v/>
      </c>
      <c r="H11">
        <f>B11+G11</f>
        <v/>
      </c>
      <c r="I11" s="32" t="n"/>
    </row>
    <row r="12" ht="13.15" customHeight="1" s="91">
      <c r="A12" s="92" t="inlineStr">
        <is>
          <t>Bamboi, Daniel</t>
        </is>
      </c>
      <c r="B12" t="n">
        <v>0</v>
      </c>
      <c r="C12" t="n">
        <v>19</v>
      </c>
      <c r="F12" t="n">
        <v>1</v>
      </c>
      <c r="G12">
        <f>SUM(C12:F12)</f>
        <v/>
      </c>
      <c r="H12">
        <f>B12+G12</f>
        <v/>
      </c>
      <c r="I12" s="32" t="n"/>
    </row>
    <row r="13" ht="13.15" customHeight="1" s="91">
      <c r="A13" s="92" t="inlineStr">
        <is>
          <t>Bea, Marc</t>
        </is>
      </c>
      <c r="B13" t="n">
        <v>86</v>
      </c>
      <c r="C13" t="n">
        <v>11</v>
      </c>
      <c r="D13" t="n">
        <v>1</v>
      </c>
      <c r="E13" t="n">
        <v>1</v>
      </c>
      <c r="F13" t="n">
        <v>0</v>
      </c>
      <c r="G13">
        <f>SUM(C13:F13)</f>
        <v/>
      </c>
      <c r="H13">
        <f>B13+G13</f>
        <v/>
      </c>
      <c r="I13" s="32" t="n"/>
    </row>
    <row r="14" ht="13.15" customHeight="1" s="91">
      <c r="A14" s="92" t="inlineStr">
        <is>
          <t>Benner, Florian</t>
        </is>
      </c>
      <c r="B14" t="n">
        <v>153</v>
      </c>
      <c r="C14" t="n">
        <v>2</v>
      </c>
      <c r="D14" t="n">
        <v>0</v>
      </c>
      <c r="E14" t="n">
        <v>0</v>
      </c>
      <c r="F14" t="n">
        <v>0</v>
      </c>
      <c r="G14">
        <f>SUM(C14:F14)</f>
        <v/>
      </c>
      <c r="H14">
        <f>B14+G14</f>
        <v/>
      </c>
      <c r="I14" s="32" t="n"/>
    </row>
    <row r="15" ht="13.15" customHeight="1" s="91">
      <c r="A15" s="92" t="inlineStr">
        <is>
          <t>Binnig, Andre</t>
        </is>
      </c>
      <c r="B15" t="n">
        <v>264</v>
      </c>
      <c r="C15" t="n">
        <v>17</v>
      </c>
      <c r="D15" t="n">
        <v>1</v>
      </c>
      <c r="E15" t="n">
        <v>2</v>
      </c>
      <c r="F15" t="n">
        <v>1</v>
      </c>
      <c r="G15">
        <f>SUM(C15:F15)</f>
        <v/>
      </c>
      <c r="H15">
        <f>B15+G15</f>
        <v/>
      </c>
      <c r="I15" s="32" t="n"/>
    </row>
    <row r="16" ht="13.15" customHeight="1" s="91">
      <c r="A16" s="92" t="inlineStr">
        <is>
          <t>Broghammer, Marcel</t>
        </is>
      </c>
      <c r="B16" t="n">
        <v>118</v>
      </c>
      <c r="C16" t="n">
        <v>0</v>
      </c>
      <c r="D16" t="n">
        <v>0</v>
      </c>
      <c r="E16" t="n">
        <v>2</v>
      </c>
      <c r="F16" t="n">
        <v>0</v>
      </c>
      <c r="G16">
        <f>SUM(C16:F16)</f>
        <v/>
      </c>
      <c r="H16">
        <f>B16+G16</f>
        <v/>
      </c>
      <c r="I16" s="32" t="n"/>
    </row>
    <row r="17" ht="13.15" customHeight="1" s="91">
      <c r="A17" s="92" t="inlineStr">
        <is>
          <t>Bühner, Ahmad Reza</t>
        </is>
      </c>
      <c r="B17" t="n">
        <v>45</v>
      </c>
      <c r="C17" t="n">
        <v>21</v>
      </c>
      <c r="D17" t="n">
        <v>1</v>
      </c>
      <c r="E17" t="n">
        <v>4</v>
      </c>
      <c r="F17" t="n">
        <v>1</v>
      </c>
      <c r="G17">
        <f>SUM(C17:F17)</f>
        <v/>
      </c>
      <c r="H17">
        <f>B17+G17</f>
        <v/>
      </c>
      <c r="I17" s="32" t="n"/>
    </row>
    <row r="18" ht="13.15" customHeight="1" s="91">
      <c r="A18" s="92" t="inlineStr">
        <is>
          <t>Coraci, Davide</t>
        </is>
      </c>
      <c r="B18" t="n">
        <v>51</v>
      </c>
      <c r="C18" t="n">
        <v>1</v>
      </c>
      <c r="D18" t="n">
        <v>0</v>
      </c>
      <c r="E18" t="n">
        <v>0</v>
      </c>
      <c r="F18" t="n">
        <v>0</v>
      </c>
      <c r="G18">
        <f>SUM(C18:F18)</f>
        <v/>
      </c>
      <c r="H18">
        <f>B18+G18</f>
        <v/>
      </c>
      <c r="I18" s="32" t="n"/>
    </row>
    <row r="19" ht="13.15" customHeight="1" s="91">
      <c r="A19" s="92" t="inlineStr">
        <is>
          <t>Dold, Markus</t>
        </is>
      </c>
      <c r="B19" t="n">
        <v>324</v>
      </c>
      <c r="C19" t="n">
        <v>25</v>
      </c>
      <c r="D19" t="n">
        <v>1</v>
      </c>
      <c r="E19" t="n">
        <v>6</v>
      </c>
      <c r="F19" t="n">
        <v>0</v>
      </c>
      <c r="G19">
        <f>SUM(C19:F19)</f>
        <v/>
      </c>
      <c r="H19">
        <f>B19+G19</f>
        <v/>
      </c>
      <c r="I19" s="33" t="n">
        <v>350</v>
      </c>
    </row>
    <row r="20" ht="13.15" customHeight="1" s="91">
      <c r="A20" s="92" t="inlineStr">
        <is>
          <t>Ebert, Matthias</t>
        </is>
      </c>
      <c r="B20" t="n">
        <v>389</v>
      </c>
      <c r="C20" t="n">
        <v>2</v>
      </c>
      <c r="D20" t="n">
        <v>1</v>
      </c>
      <c r="E20" t="n">
        <v>0</v>
      </c>
      <c r="F20" t="n">
        <v>0</v>
      </c>
      <c r="G20">
        <f>SUM(C20:F20)</f>
        <v/>
      </c>
      <c r="H20">
        <f>B20+G20</f>
        <v/>
      </c>
      <c r="I20" s="33" t="n"/>
    </row>
    <row r="21" ht="13.15" customHeight="1" s="91">
      <c r="A21" s="92" t="inlineStr">
        <is>
          <t>Flaig, Elias</t>
        </is>
      </c>
      <c r="B21" t="n">
        <v>154</v>
      </c>
      <c r="C21" t="n">
        <v>21</v>
      </c>
      <c r="D21" t="n">
        <v>1</v>
      </c>
      <c r="E21" t="n">
        <v>3</v>
      </c>
      <c r="F21" t="n">
        <v>2</v>
      </c>
      <c r="G21">
        <f>SUM(C21:F21)</f>
        <v/>
      </c>
      <c r="H21">
        <f>B21+G21</f>
        <v/>
      </c>
      <c r="I21" s="33" t="n"/>
    </row>
    <row r="22" ht="13.15" customHeight="1" s="91">
      <c r="A22" s="92" t="inlineStr">
        <is>
          <t>Flaig, Luis</t>
        </is>
      </c>
      <c r="B22" t="n">
        <v>51</v>
      </c>
      <c r="C22" t="n">
        <v>26</v>
      </c>
      <c r="D22" t="n">
        <v>0</v>
      </c>
      <c r="E22" t="n">
        <v>5</v>
      </c>
      <c r="F22" t="n">
        <v>1</v>
      </c>
      <c r="G22">
        <f>SUM(C22:F22)</f>
        <v/>
      </c>
      <c r="H22">
        <f>B22+G22</f>
        <v/>
      </c>
      <c r="I22" s="33" t="n"/>
    </row>
    <row r="23" ht="13.15" customHeight="1" s="91">
      <c r="A23" s="92" t="inlineStr">
        <is>
          <t>Katzer, Florian</t>
        </is>
      </c>
      <c r="B23">
        <f>'23-24'!G23</f>
        <v/>
      </c>
      <c r="C23" t="n">
        <v>0</v>
      </c>
      <c r="D23" t="n">
        <v>0</v>
      </c>
      <c r="E23" t="n">
        <v>0</v>
      </c>
      <c r="F23" t="n">
        <v>0</v>
      </c>
      <c r="G23">
        <f>SUM(C23:F23)</f>
        <v/>
      </c>
      <c r="H23">
        <f>B23+G23</f>
        <v/>
      </c>
      <c r="I23" s="33" t="n"/>
    </row>
    <row r="24" ht="13.15" customHeight="1" s="91">
      <c r="A24" s="92" t="inlineStr">
        <is>
          <t>Flaig, Tim</t>
        </is>
      </c>
      <c r="B24" t="n">
        <v>111</v>
      </c>
      <c r="C24" t="n">
        <v>22</v>
      </c>
      <c r="D24" t="n">
        <v>1</v>
      </c>
      <c r="E24" t="n">
        <v>4</v>
      </c>
      <c r="F24" t="n">
        <v>2</v>
      </c>
      <c r="G24">
        <f>SUM(C24:F24)</f>
        <v/>
      </c>
      <c r="H24">
        <f>B24+G24</f>
        <v/>
      </c>
      <c r="I24" s="33" t="n"/>
    </row>
    <row r="25" ht="13.15" customHeight="1" s="91">
      <c r="A25" s="92" t="inlineStr">
        <is>
          <t>Fleig, Maximilian</t>
        </is>
      </c>
      <c r="B25" t="n">
        <v>162</v>
      </c>
      <c r="C25" t="n">
        <v>26</v>
      </c>
      <c r="D25" t="n">
        <v>1</v>
      </c>
      <c r="E25" t="n">
        <v>5</v>
      </c>
      <c r="F25" t="n">
        <v>2</v>
      </c>
      <c r="G25">
        <f>SUM(C25:F25)</f>
        <v/>
      </c>
      <c r="H25">
        <f>B25+G25</f>
        <v/>
      </c>
      <c r="I25" s="33" t="n"/>
    </row>
    <row r="26" ht="13.15" customHeight="1" s="91">
      <c r="A26" s="92" t="inlineStr">
        <is>
          <t>Günter, Ralf</t>
        </is>
      </c>
      <c r="B26" t="n">
        <v>332</v>
      </c>
      <c r="C26" t="n">
        <v>25</v>
      </c>
      <c r="D26" t="n">
        <v>0</v>
      </c>
      <c r="E26" t="n">
        <v>5</v>
      </c>
      <c r="F26" t="n">
        <v>2</v>
      </c>
      <c r="G26">
        <f>SUM(C26:F26)</f>
        <v/>
      </c>
      <c r="H26">
        <f>B26+G26</f>
        <v/>
      </c>
      <c r="I26" s="33" t="n">
        <v>350</v>
      </c>
    </row>
    <row r="27" ht="13.15" customHeight="1" s="91">
      <c r="A27" s="92" t="inlineStr">
        <is>
          <t>Haberstroh, Raphael</t>
        </is>
      </c>
      <c r="B27" t="n">
        <v>347</v>
      </c>
      <c r="C27" t="n">
        <v>17</v>
      </c>
      <c r="D27" t="n">
        <v>0</v>
      </c>
      <c r="E27" t="n">
        <v>0</v>
      </c>
      <c r="F27" t="n">
        <v>0</v>
      </c>
      <c r="G27">
        <f>SUM(C27:F27)</f>
        <v/>
      </c>
      <c r="H27">
        <f>B27+G27</f>
        <v/>
      </c>
      <c r="I27" s="33" t="n">
        <v>350</v>
      </c>
    </row>
    <row r="28" ht="13.15" customHeight="1" s="91">
      <c r="A28" t="inlineStr">
        <is>
          <t>Hoch, Philipp</t>
        </is>
      </c>
      <c r="B28" t="n">
        <v>0</v>
      </c>
      <c r="C28" t="n">
        <v>2</v>
      </c>
      <c r="D28" t="n">
        <v>0</v>
      </c>
      <c r="E28" t="n">
        <v>0</v>
      </c>
      <c r="F28" t="n">
        <v>0</v>
      </c>
      <c r="G28">
        <f>SUM(C28:F28)</f>
        <v/>
      </c>
      <c r="H28">
        <f>B28+G28</f>
        <v/>
      </c>
    </row>
    <row r="29" ht="13.15" customHeight="1" s="91">
      <c r="A29" s="92" t="inlineStr">
        <is>
          <t>Hornberger, Christian</t>
        </is>
      </c>
      <c r="B29" t="n">
        <v>173</v>
      </c>
      <c r="C29" t="n">
        <v>25</v>
      </c>
      <c r="D29" t="n">
        <v>0</v>
      </c>
      <c r="E29" t="n">
        <v>4</v>
      </c>
      <c r="F29" t="n">
        <v>1</v>
      </c>
      <c r="G29">
        <f>SUM(C29:F29)</f>
        <v/>
      </c>
      <c r="H29">
        <f>B29+G29</f>
        <v/>
      </c>
      <c r="I29" s="33" t="n">
        <v>200</v>
      </c>
    </row>
    <row r="30" ht="13.15" customHeight="1" s="91">
      <c r="A30" s="92" t="inlineStr">
        <is>
          <t>Kimmich, Simeon</t>
        </is>
      </c>
      <c r="B30" t="n">
        <v>146</v>
      </c>
      <c r="C30" t="n">
        <v>12</v>
      </c>
      <c r="D30" t="n">
        <v>1</v>
      </c>
      <c r="E30" t="n">
        <v>3</v>
      </c>
      <c r="F30" t="n">
        <v>2</v>
      </c>
      <c r="G30">
        <f>SUM(C30:F30)</f>
        <v/>
      </c>
      <c r="H30">
        <f>B30+G30</f>
        <v/>
      </c>
      <c r="I30" s="33" t="n">
        <v>150</v>
      </c>
    </row>
    <row r="31" ht="13.15" customHeight="1" s="91">
      <c r="A31" s="92" t="inlineStr">
        <is>
          <t>Klein, Daniel</t>
        </is>
      </c>
      <c r="B31" t="n">
        <v>413</v>
      </c>
      <c r="C31" t="n">
        <v>1</v>
      </c>
      <c r="D31" t="n">
        <v>0</v>
      </c>
      <c r="E31" t="n">
        <v>0</v>
      </c>
      <c r="F31" t="n">
        <v>0</v>
      </c>
      <c r="G31">
        <f>SUM(C31:F31)</f>
        <v/>
      </c>
      <c r="H31">
        <f>B31+G31</f>
        <v/>
      </c>
      <c r="I31" s="33" t="n"/>
    </row>
    <row r="32" ht="13.15" customHeight="1" s="91">
      <c r="A32" s="92" t="inlineStr">
        <is>
          <t>Klukas, Pascal</t>
        </is>
      </c>
      <c r="B32" t="n">
        <v>79</v>
      </c>
      <c r="C32" t="n">
        <v>26</v>
      </c>
      <c r="D32" t="n">
        <v>0</v>
      </c>
      <c r="E32" t="n">
        <v>3</v>
      </c>
      <c r="F32" t="n">
        <v>1</v>
      </c>
      <c r="G32">
        <f>SUM(C32:F32)</f>
        <v/>
      </c>
      <c r="H32">
        <f>B32+G32</f>
        <v/>
      </c>
      <c r="I32" s="33" t="n"/>
    </row>
    <row r="33" ht="13.15" customHeight="1" s="91">
      <c r="A33" s="92" t="inlineStr">
        <is>
          <t>Kobel, Michael</t>
        </is>
      </c>
      <c r="B33" t="n">
        <v>70</v>
      </c>
      <c r="C33" t="n">
        <v>16</v>
      </c>
      <c r="D33" t="n">
        <v>0</v>
      </c>
      <c r="E33" t="n">
        <v>1</v>
      </c>
      <c r="F33" t="n">
        <v>0</v>
      </c>
      <c r="G33">
        <f>SUM(C33:F33)</f>
        <v/>
      </c>
      <c r="H33">
        <f>B33+G33</f>
        <v/>
      </c>
      <c r="I33" s="33" t="n"/>
    </row>
    <row r="34" ht="13.15" customHeight="1" s="91">
      <c r="A34" s="92" t="inlineStr">
        <is>
          <t>Kuner, Andreas</t>
        </is>
      </c>
      <c r="B34" t="n">
        <v>146</v>
      </c>
      <c r="C34" t="n">
        <v>18</v>
      </c>
      <c r="D34" t="n">
        <v>1</v>
      </c>
      <c r="E34" t="n">
        <v>2</v>
      </c>
      <c r="F34" t="n">
        <v>0</v>
      </c>
      <c r="G34">
        <f>SUM(C34:F34)</f>
        <v/>
      </c>
      <c r="H34">
        <f>B34+G34</f>
        <v/>
      </c>
      <c r="I34" s="33" t="n">
        <v>150</v>
      </c>
    </row>
    <row r="35" ht="13.15" customHeight="1" s="91">
      <c r="A35" s="92" t="inlineStr">
        <is>
          <t>Kunz, Holger</t>
        </is>
      </c>
      <c r="B35" t="n">
        <v>31</v>
      </c>
      <c r="C35" t="n">
        <v>25</v>
      </c>
      <c r="D35" t="n">
        <v>0</v>
      </c>
      <c r="E35" t="n">
        <v>4</v>
      </c>
      <c r="F35" t="n">
        <v>2</v>
      </c>
      <c r="G35">
        <f>SUM(C35:F35)</f>
        <v/>
      </c>
      <c r="H35">
        <f>B35+G35</f>
        <v/>
      </c>
      <c r="I35" s="33" t="n"/>
    </row>
    <row r="36" ht="13.15" customHeight="1" s="91">
      <c r="A36" s="92" t="inlineStr">
        <is>
          <t>Leingruber, Fabian</t>
        </is>
      </c>
      <c r="B36" t="n">
        <v>0</v>
      </c>
      <c r="C36" t="n">
        <v>3</v>
      </c>
      <c r="D36" t="n">
        <v>0</v>
      </c>
      <c r="E36" t="n">
        <v>0</v>
      </c>
      <c r="F36" t="n">
        <v>0</v>
      </c>
      <c r="G36">
        <f>SUM(C36:F36)</f>
        <v/>
      </c>
      <c r="H36">
        <f>B36+G36</f>
        <v/>
      </c>
      <c r="I36" s="33" t="n"/>
    </row>
    <row r="37" ht="13.15" customHeight="1" s="91">
      <c r="A37" s="92" t="inlineStr">
        <is>
          <t>Linder, Andreas</t>
        </is>
      </c>
      <c r="B37" t="n">
        <v>153</v>
      </c>
      <c r="C37" t="n">
        <v>12</v>
      </c>
      <c r="D37" t="n">
        <v>1</v>
      </c>
      <c r="E37" t="n">
        <v>3</v>
      </c>
      <c r="F37" t="n">
        <v>2</v>
      </c>
      <c r="G37">
        <f>SUM(C37:F37)</f>
        <v/>
      </c>
      <c r="H37">
        <f>B37+G37</f>
        <v/>
      </c>
      <c r="I37" s="33" t="n"/>
    </row>
    <row r="38" ht="13.15" customHeight="1" s="91">
      <c r="A38" s="92" t="inlineStr">
        <is>
          <t>Lobert, Marius</t>
        </is>
      </c>
      <c r="B38" t="n">
        <v>143</v>
      </c>
      <c r="C38" t="n">
        <v>23</v>
      </c>
      <c r="D38" t="n">
        <v>1</v>
      </c>
      <c r="E38" t="n">
        <v>4</v>
      </c>
      <c r="F38" t="n">
        <v>0</v>
      </c>
      <c r="G38">
        <f>SUM(C38:F38)</f>
        <v/>
      </c>
      <c r="H38">
        <f>B38+G38</f>
        <v/>
      </c>
      <c r="I38" s="33" t="n">
        <v>150</v>
      </c>
    </row>
    <row r="39" ht="13.15" customHeight="1" s="91">
      <c r="A39" s="92" t="inlineStr">
        <is>
          <t>Löffler, Marius</t>
        </is>
      </c>
      <c r="B39" t="n">
        <v>341</v>
      </c>
      <c r="C39" t="n">
        <v>16</v>
      </c>
      <c r="D39" t="n">
        <v>0</v>
      </c>
      <c r="E39" t="n">
        <v>5</v>
      </c>
      <c r="F39" t="n">
        <v>0</v>
      </c>
      <c r="G39">
        <f>SUM(C39:F39)</f>
        <v/>
      </c>
      <c r="H39">
        <f>B39+G39</f>
        <v/>
      </c>
      <c r="I39" s="33" t="n">
        <v>350</v>
      </c>
    </row>
    <row r="40" ht="13.15" customHeight="1" s="91">
      <c r="A40" s="92" t="inlineStr">
        <is>
          <t>Müller, Andre</t>
        </is>
      </c>
      <c r="B40" t="n">
        <v>124</v>
      </c>
      <c r="C40" t="n">
        <v>3</v>
      </c>
      <c r="D40" t="n">
        <v>0</v>
      </c>
      <c r="E40" t="n">
        <v>0</v>
      </c>
      <c r="F40" t="n">
        <v>0</v>
      </c>
      <c r="G40">
        <f>SUM(C40:F40)</f>
        <v/>
      </c>
      <c r="H40">
        <f>B40+G40</f>
        <v/>
      </c>
      <c r="I40" s="33" t="n"/>
    </row>
    <row r="41" ht="13.15" customHeight="1" s="91">
      <c r="A41" s="92" t="inlineStr">
        <is>
          <t>Müller, Felix</t>
        </is>
      </c>
      <c r="B41" t="n">
        <v>216</v>
      </c>
      <c r="C41" t="n">
        <v>2</v>
      </c>
      <c r="D41" t="n">
        <v>1</v>
      </c>
      <c r="E41" t="n">
        <v>2</v>
      </c>
      <c r="F41" t="n">
        <v>0</v>
      </c>
      <c r="G41">
        <f>SUM(C41:F41)</f>
        <v/>
      </c>
      <c r="H41">
        <f>B41+G41</f>
        <v/>
      </c>
      <c r="I41" s="33" t="n"/>
    </row>
    <row r="42" ht="13.15" customHeight="1" s="91">
      <c r="A42" s="92" t="inlineStr">
        <is>
          <t>Müller, Moritz</t>
        </is>
      </c>
      <c r="B42" t="n">
        <v>121</v>
      </c>
      <c r="C42" t="n">
        <v>21</v>
      </c>
      <c r="D42" t="n">
        <v>1</v>
      </c>
      <c r="E42" t="n">
        <v>4</v>
      </c>
      <c r="F42" t="n">
        <v>0</v>
      </c>
      <c r="G42">
        <f>SUM(C42:F42)</f>
        <v/>
      </c>
      <c r="H42">
        <f>B42+G42</f>
        <v/>
      </c>
      <c r="I42" s="33" t="n"/>
    </row>
    <row r="43" ht="13.15" customHeight="1" s="91">
      <c r="A43" s="92" t="inlineStr">
        <is>
          <t>Müller, Thorsten</t>
        </is>
      </c>
      <c r="B43" t="n">
        <v>236</v>
      </c>
      <c r="C43" t="n">
        <v>3</v>
      </c>
      <c r="D43" t="n">
        <v>0</v>
      </c>
      <c r="E43" t="n">
        <v>0</v>
      </c>
      <c r="F43" t="n">
        <v>0</v>
      </c>
      <c r="G43">
        <f>SUM(C43:F43)</f>
        <v/>
      </c>
      <c r="H43">
        <f>B43+G43</f>
        <v/>
      </c>
      <c r="I43" s="33" t="n"/>
    </row>
    <row r="44" ht="13.15" customHeight="1" s="91">
      <c r="A44" s="92" t="inlineStr">
        <is>
          <t>Palmer, Micha</t>
        </is>
      </c>
      <c r="B44" t="n">
        <v>44</v>
      </c>
      <c r="C44" t="n">
        <v>2</v>
      </c>
      <c r="D44" t="n">
        <v>0</v>
      </c>
      <c r="E44" t="n">
        <v>1</v>
      </c>
      <c r="F44" t="n">
        <v>0</v>
      </c>
      <c r="G44">
        <f>SUM(C44:F44)</f>
        <v/>
      </c>
      <c r="H44">
        <f>B44+G44</f>
        <v/>
      </c>
      <c r="I44" s="33" t="n"/>
    </row>
    <row r="45" ht="13.15" customHeight="1" s="91">
      <c r="A45" s="92" t="inlineStr">
        <is>
          <t>Pfundstein, Andreas</t>
        </is>
      </c>
      <c r="B45" t="n">
        <v>133</v>
      </c>
      <c r="C45" t="n">
        <v>15</v>
      </c>
      <c r="D45" t="n">
        <v>0</v>
      </c>
      <c r="E45" t="n">
        <v>0</v>
      </c>
      <c r="F45" t="n">
        <v>0</v>
      </c>
      <c r="G45">
        <f>SUM(C45:F45)</f>
        <v/>
      </c>
      <c r="H45">
        <f>B45+G45</f>
        <v/>
      </c>
      <c r="I45" s="33" t="n"/>
    </row>
    <row r="46" ht="13.15" customHeight="1" s="91">
      <c r="A46" s="92" t="inlineStr">
        <is>
          <t>Preuss, Jonas</t>
        </is>
      </c>
      <c r="B46" t="n">
        <v>399</v>
      </c>
      <c r="C46" t="n">
        <v>20</v>
      </c>
      <c r="D46" t="n">
        <v>0</v>
      </c>
      <c r="E46" t="n">
        <v>3</v>
      </c>
      <c r="F46" t="n">
        <v>1</v>
      </c>
      <c r="G46">
        <f>SUM(C46:F46)</f>
        <v/>
      </c>
      <c r="H46">
        <f>B46+G46</f>
        <v/>
      </c>
      <c r="I46" s="33" t="n">
        <v>400</v>
      </c>
    </row>
    <row r="47" ht="13.15" customHeight="1" s="91">
      <c r="A47" s="92" t="inlineStr">
        <is>
          <t>Reuter, Johannes</t>
        </is>
      </c>
      <c r="B47" t="n">
        <v>281</v>
      </c>
      <c r="C47" t="n">
        <v>10</v>
      </c>
      <c r="D47" t="n">
        <v>0</v>
      </c>
      <c r="E47" t="n">
        <v>0</v>
      </c>
      <c r="F47" t="n">
        <v>2</v>
      </c>
      <c r="G47">
        <f>SUM(C47:F47)</f>
        <v/>
      </c>
      <c r="H47">
        <f>B47+G47</f>
        <v/>
      </c>
      <c r="I47" s="33" t="n"/>
    </row>
    <row r="48" ht="13.15" customHeight="1" s="91">
      <c r="A48" s="92" t="inlineStr">
        <is>
          <t>Schaumann, Daniel</t>
        </is>
      </c>
      <c r="B48" t="n">
        <v>161</v>
      </c>
      <c r="C48" t="n">
        <v>15</v>
      </c>
      <c r="D48" t="n">
        <v>1</v>
      </c>
      <c r="E48" t="n">
        <v>4</v>
      </c>
      <c r="F48" t="n">
        <v>2</v>
      </c>
      <c r="G48">
        <f>SUM(C48:F48)</f>
        <v/>
      </c>
      <c r="H48">
        <f>B48+G48</f>
        <v/>
      </c>
      <c r="I48" s="33" t="n"/>
    </row>
    <row r="49" ht="13.15" customHeight="1" s="91">
      <c r="A49" s="92" t="inlineStr">
        <is>
          <t>Schaumann, David</t>
        </is>
      </c>
      <c r="B49" t="n">
        <v>187</v>
      </c>
      <c r="C49" t="n">
        <v>27</v>
      </c>
      <c r="D49" t="n">
        <v>1</v>
      </c>
      <c r="E49" t="n">
        <v>6</v>
      </c>
      <c r="F49" t="n">
        <v>2</v>
      </c>
      <c r="G49">
        <f>SUM(C49:F49)</f>
        <v/>
      </c>
      <c r="H49">
        <f>B49+G49</f>
        <v/>
      </c>
      <c r="I49" s="33" t="n">
        <v>200</v>
      </c>
    </row>
    <row r="50" ht="13.15" customHeight="1" s="91">
      <c r="A50" s="92" t="inlineStr">
        <is>
          <t>Schaumann, Sebastian</t>
        </is>
      </c>
      <c r="B50" t="n">
        <v>307</v>
      </c>
      <c r="C50" t="n">
        <v>7</v>
      </c>
      <c r="D50" t="n">
        <v>0</v>
      </c>
      <c r="E50" t="n">
        <v>3</v>
      </c>
      <c r="F50" t="n">
        <v>1</v>
      </c>
      <c r="G50">
        <f>SUM(C50:F50)</f>
        <v/>
      </c>
      <c r="H50">
        <f>B50+G50</f>
        <v/>
      </c>
      <c r="I50" s="32" t="n"/>
    </row>
    <row r="51" ht="13.15" customHeight="1" s="91">
      <c r="A51" s="92" t="inlineStr">
        <is>
          <t>Scheck, Lucas</t>
        </is>
      </c>
      <c r="B51" t="n">
        <v>84</v>
      </c>
      <c r="C51" t="n">
        <v>6</v>
      </c>
      <c r="D51" t="n">
        <v>0</v>
      </c>
      <c r="E51" t="n">
        <v>0</v>
      </c>
      <c r="F51" t="n">
        <v>0</v>
      </c>
      <c r="G51">
        <f>SUM(C51:F51)</f>
        <v/>
      </c>
      <c r="H51">
        <f>B51+G51</f>
        <v/>
      </c>
      <c r="I51" s="32" t="n"/>
    </row>
    <row r="52" ht="13.15" customHeight="1" s="91">
      <c r="A52" s="92" t="inlineStr">
        <is>
          <t>Schwenk, Kevin</t>
        </is>
      </c>
      <c r="B52" t="n">
        <v>164</v>
      </c>
      <c r="C52" t="n">
        <v>3</v>
      </c>
      <c r="D52" t="n">
        <v>0</v>
      </c>
      <c r="E52" t="n">
        <v>0</v>
      </c>
      <c r="F52" t="n">
        <v>0</v>
      </c>
      <c r="G52">
        <f>SUM(C52:F52)</f>
        <v/>
      </c>
      <c r="H52">
        <f>B52+G52</f>
        <v/>
      </c>
      <c r="I52" s="32" t="n"/>
    </row>
    <row r="53" ht="13.15" customHeight="1" s="91">
      <c r="A53" s="92" t="inlineStr">
        <is>
          <t>Seidel, Jan</t>
        </is>
      </c>
      <c r="B53" t="n">
        <v>49</v>
      </c>
      <c r="C53" t="n">
        <v>1</v>
      </c>
      <c r="D53" t="n">
        <v>0</v>
      </c>
      <c r="E53" t="n">
        <v>0</v>
      </c>
      <c r="F53" t="n">
        <v>0</v>
      </c>
      <c r="G53">
        <f>SUM(C53:F53)</f>
        <v/>
      </c>
      <c r="H53">
        <f>B53+G53</f>
        <v/>
      </c>
      <c r="I53" s="32" t="n"/>
    </row>
    <row r="54" ht="13.15" customHeight="1" s="91">
      <c r="A54" s="92" t="inlineStr">
        <is>
          <t>Staiger, Tobias</t>
        </is>
      </c>
      <c r="B54" t="n">
        <v>500</v>
      </c>
      <c r="C54" t="n">
        <v>23</v>
      </c>
      <c r="D54" t="n">
        <v>1</v>
      </c>
      <c r="E54" t="n">
        <v>6</v>
      </c>
      <c r="F54" t="n">
        <v>0</v>
      </c>
      <c r="G54">
        <f>SUM(C54:F54)</f>
        <v/>
      </c>
      <c r="H54">
        <f>B54+G54</f>
        <v/>
      </c>
      <c r="I54" s="32" t="n"/>
    </row>
    <row r="55" ht="13.15" customHeight="1" s="91">
      <c r="A55" s="92" t="inlineStr">
        <is>
          <t>Tramnitz, Christoph</t>
        </is>
      </c>
      <c r="B55" t="n">
        <v>263</v>
      </c>
      <c r="C55" t="n">
        <v>22</v>
      </c>
      <c r="D55" t="n">
        <v>0</v>
      </c>
      <c r="E55" t="n">
        <v>4</v>
      </c>
      <c r="F55" t="n">
        <v>0</v>
      </c>
      <c r="G55">
        <f>SUM(C55:F55)</f>
        <v/>
      </c>
      <c r="H55">
        <f>B55+G55</f>
        <v/>
      </c>
      <c r="I55" s="32" t="n"/>
    </row>
    <row r="56" ht="13.15" customHeight="1" s="91">
      <c r="A56" s="92" t="inlineStr">
        <is>
          <t>Tramnitz, Lukas</t>
        </is>
      </c>
      <c r="B56" t="n">
        <v>157</v>
      </c>
      <c r="C56" t="n">
        <v>9</v>
      </c>
      <c r="D56" t="n">
        <v>0</v>
      </c>
      <c r="E56" t="n">
        <v>2</v>
      </c>
      <c r="F56" t="n">
        <v>0</v>
      </c>
      <c r="G56">
        <f>SUM(C56:F56)</f>
        <v/>
      </c>
      <c r="H56">
        <f>B56+G56</f>
        <v/>
      </c>
      <c r="I56" s="32" t="n"/>
    </row>
    <row r="57" ht="13.15" customHeight="1" s="91">
      <c r="A57" s="92" t="inlineStr">
        <is>
          <t>Verrino, Roberto</t>
        </is>
      </c>
      <c r="B57" t="n">
        <v>301</v>
      </c>
      <c r="C57" t="n">
        <v>24</v>
      </c>
      <c r="D57" t="n">
        <v>1</v>
      </c>
      <c r="E57" t="n">
        <v>4</v>
      </c>
      <c r="F57" t="n">
        <v>0</v>
      </c>
      <c r="G57">
        <f>SUM(C57:F57)</f>
        <v/>
      </c>
      <c r="H57">
        <f>B57+G57</f>
        <v/>
      </c>
      <c r="I57" s="32" t="n"/>
    </row>
    <row r="58" ht="13.15" customHeight="1" s="91">
      <c r="A58" s="92" t="inlineStr">
        <is>
          <t>Weber, Peter</t>
        </is>
      </c>
      <c r="B58" t="n">
        <v>0</v>
      </c>
      <c r="C58" t="n">
        <v>26</v>
      </c>
      <c r="D58" t="n">
        <v>1</v>
      </c>
      <c r="E58" t="n">
        <v>6</v>
      </c>
      <c r="F58" t="n">
        <v>2</v>
      </c>
      <c r="G58">
        <f>SUM(C58:F58)</f>
        <v/>
      </c>
      <c r="H58">
        <f>B58+G58</f>
        <v/>
      </c>
      <c r="I58" s="32" t="n"/>
    </row>
    <row r="59" ht="13.15" customHeight="1" s="91"/>
    <row r="60" ht="13.15" customHeight="1" s="91"/>
    <row r="61" ht="13.15" customHeight="1" s="91"/>
    <row r="62" ht="13.15" customHeight="1" s="91"/>
    <row r="63" ht="13.15" customHeight="1" s="91">
      <c r="B63" s="74" t="n"/>
      <c r="F63" s="72" t="n"/>
    </row>
    <row r="64" ht="13.15" customHeight="1" s="91"/>
    <row r="65" ht="12.75" customHeight="1" s="91">
      <c r="B65" s="73" t="n"/>
    </row>
  </sheetData>
  <mergeCells count="5">
    <mergeCell ref="B3:D3"/>
    <mergeCell ref="B1:D1"/>
    <mergeCell ref="B4:D4"/>
    <mergeCell ref="H6:H7"/>
    <mergeCell ref="B6:B7"/>
  </mergeCells>
  <conditionalFormatting sqref="A8:R59">
    <cfRule type="expression" priority="1" dxfId="0">
      <formula>MOD(ROW(),2)=0</formula>
    </cfRule>
  </conditionalFormatting>
  <pageMargins left="0.7" right="0.7" top="0.787401575" bottom="0.7874015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10" defaultColWidth="11.42578125" defaultRowHeight="12.75" customHeight="1"/>
  <cols>
    <col width="20.28515625" customWidth="1" style="91" min="1" max="1"/>
    <col width="15.42578125" customWidth="1" style="91" min="2" max="2"/>
    <col width="13.5703125" customWidth="1" style="91" min="3" max="4"/>
    <col width="13.28515625" customWidth="1" style="91" min="5" max="6"/>
    <col width="12.5703125" customWidth="1" style="91" min="7" max="8"/>
  </cols>
  <sheetData>
    <row r="1" ht="23.45" customHeight="1" s="91">
      <c r="A1" s="36" t="n"/>
      <c r="B1" s="88" t="inlineStr">
        <is>
          <t>Saison 2025/26</t>
        </is>
      </c>
      <c r="C1" s="87" t="n"/>
      <c r="D1" s="87" t="n"/>
      <c r="E1" s="29" t="n"/>
      <c r="F1" s="29" t="n"/>
      <c r="G1" s="29" t="n"/>
      <c r="H1" s="29" t="n"/>
      <c r="I1" s="29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</row>
    <row r="2" ht="23.45" customHeight="1" s="91">
      <c r="A2" s="36" t="n"/>
      <c r="B2" s="34" t="n"/>
      <c r="C2" s="34" t="n"/>
      <c r="D2" s="29" t="n"/>
      <c r="E2" s="29" t="n"/>
      <c r="F2" s="29" t="n"/>
      <c r="G2" s="29" t="n"/>
      <c r="H2" s="29" t="n"/>
      <c r="I2" s="29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</row>
    <row r="3" ht="23.45" customHeight="1" s="91">
      <c r="A3" s="35" t="n"/>
      <c r="B3" s="86" t="inlineStr">
        <is>
          <t>Spielerliste</t>
        </is>
      </c>
      <c r="C3" s="87" t="n"/>
      <c r="D3" s="87" t="n"/>
      <c r="E3" s="29" t="n"/>
      <c r="F3" s="29" t="n"/>
      <c r="G3" s="29" t="n"/>
      <c r="H3" s="29" t="n"/>
      <c r="I3" s="37" t="inlineStr">
        <is>
          <t>Ehrung:</t>
        </is>
      </c>
      <c r="J3" s="39" t="n">
        <v>150</v>
      </c>
      <c r="K3" s="39" t="n">
        <v>200</v>
      </c>
      <c r="L3" s="39" t="n">
        <v>250</v>
      </c>
      <c r="M3" s="39" t="n">
        <v>300</v>
      </c>
      <c r="N3" s="39" t="n">
        <v>350</v>
      </c>
      <c r="O3" s="39" t="n">
        <v>400</v>
      </c>
      <c r="P3" s="39" t="n">
        <v>450</v>
      </c>
      <c r="Q3" s="39" t="n">
        <v>500</v>
      </c>
      <c r="R3" s="39" t="n">
        <v>550</v>
      </c>
    </row>
    <row r="4" ht="22.5" customHeight="1" s="91">
      <c r="A4" s="35" t="n"/>
      <c r="B4" s="86" t="inlineStr">
        <is>
          <t>Stand 12.05.2026</t>
        </is>
      </c>
      <c r="C4" s="87" t="n"/>
      <c r="D4" s="87" t="n"/>
      <c r="E4" s="29" t="n"/>
      <c r="F4" s="29" t="n"/>
      <c r="G4" s="29" t="n"/>
      <c r="H4" s="29" t="n"/>
      <c r="I4" s="37" t="inlineStr">
        <is>
          <t>Anzahl:</t>
        </is>
      </c>
      <c r="J4" s="38">
        <f>COUNTIF($I$8:$I$58,"150")</f>
        <v/>
      </c>
      <c r="K4" s="38">
        <f>COUNTIF($I$8:$I$58,"200")</f>
        <v/>
      </c>
      <c r="L4" s="38">
        <f>COUNTIF($I$8:$I$58,"250")</f>
        <v/>
      </c>
      <c r="M4" s="38">
        <f>COUNTIF($I$8:$I$58,"300")</f>
        <v/>
      </c>
      <c r="N4" s="38">
        <f>COUNTIF($I$8:$I$58,"350")</f>
        <v/>
      </c>
      <c r="O4" s="38">
        <f>COUNTIF($I$8:$I$58,"400")</f>
        <v/>
      </c>
      <c r="P4" s="38">
        <f>COUNTIF($I$8:$I$58,"450")</f>
        <v/>
      </c>
      <c r="Q4" s="38">
        <f>COUNTIF($I$8:$I$58,"500")</f>
        <v/>
      </c>
      <c r="R4" s="38">
        <f>COUNTIF($I$8:$I$58,"550")</f>
        <v/>
      </c>
    </row>
    <row r="5" ht="22.5" customHeight="1" s="91">
      <c r="A5" s="35" t="n"/>
      <c r="B5" s="86" t="n"/>
      <c r="C5" s="86" t="n"/>
      <c r="D5" s="86" t="n"/>
      <c r="E5" s="29" t="n"/>
      <c r="F5" s="29" t="n"/>
      <c r="G5" s="29" t="n"/>
      <c r="H5" s="29" t="n"/>
      <c r="I5" s="29" t="n"/>
      <c r="J5" s="38" t="n"/>
      <c r="K5" s="38" t="n"/>
      <c r="L5" s="38" t="n"/>
      <c r="M5" s="38" t="n"/>
      <c r="N5" s="38" t="n"/>
      <c r="O5" s="38" t="n"/>
      <c r="P5" s="38" t="n"/>
      <c r="Q5" s="38" t="n"/>
      <c r="R5" s="38" t="n"/>
    </row>
    <row r="6" ht="23.45" customHeight="1" s="91">
      <c r="A6" s="36" t="n"/>
      <c r="B6" s="89" t="inlineStr">
        <is>
          <t>Anzahl
Spiele</t>
        </is>
      </c>
      <c r="C6" s="30" t="n"/>
      <c r="D6" s="29" t="n"/>
      <c r="E6" s="29" t="n"/>
      <c r="F6" s="29" t="n"/>
      <c r="G6" s="29" t="n"/>
      <c r="H6" s="89" t="inlineStr">
        <is>
          <t>Anzahl
Spiele</t>
        </is>
      </c>
      <c r="I6" s="29" t="n"/>
      <c r="J6" s="38" t="n"/>
      <c r="K6" s="38" t="n"/>
      <c r="L6" s="38" t="n"/>
      <c r="M6" s="38" t="n"/>
      <c r="N6" s="38" t="n"/>
      <c r="O6" s="38" t="n"/>
      <c r="P6" s="38" t="n"/>
      <c r="Q6" s="38" t="n"/>
      <c r="R6" s="38" t="n"/>
    </row>
    <row r="7" ht="13.9" customHeight="1" s="91">
      <c r="A7" s="35" t="n"/>
      <c r="B7" s="87" t="n"/>
      <c r="C7" s="31" t="inlineStr">
        <is>
          <t>Punktspiel</t>
        </is>
      </c>
      <c r="D7" s="31" t="inlineStr">
        <is>
          <t>Pokalspiel</t>
        </is>
      </c>
      <c r="E7" s="31" t="inlineStr">
        <is>
          <t>Testspiel</t>
        </is>
      </c>
      <c r="F7" s="31" t="inlineStr">
        <is>
          <t>Turnier</t>
        </is>
      </c>
      <c r="G7" s="31" t="inlineStr">
        <is>
          <t>Gesamt</t>
        </is>
      </c>
      <c r="H7" s="87" t="n"/>
      <c r="I7" s="31" t="inlineStr">
        <is>
          <t>Ehrung</t>
        </is>
      </c>
      <c r="J7" s="38" t="n"/>
      <c r="K7" s="38" t="n"/>
      <c r="L7" s="38" t="n"/>
      <c r="M7" s="38" t="n"/>
      <c r="N7" s="38" t="n"/>
      <c r="O7" s="38" t="n"/>
      <c r="P7" s="38" t="n"/>
      <c r="Q7" s="38" t="n"/>
      <c r="R7" s="38" t="n"/>
    </row>
    <row r="8" ht="13.15" customHeight="1" s="91">
      <c r="A8" s="100" t="inlineStr">
        <is>
          <t>Auber, Daniel</t>
        </is>
      </c>
      <c r="B8" s="101">
        <f>'24-25'!H8</f>
        <v/>
      </c>
      <c r="C8" s="101" t="n">
        <v>14</v>
      </c>
      <c r="D8" s="101" t="n">
        <v>0</v>
      </c>
      <c r="E8" s="101" t="n">
        <v>3</v>
      </c>
      <c r="F8" s="101" t="n"/>
      <c r="G8" s="101">
        <f>C8+D8+E8+F8</f>
        <v/>
      </c>
      <c r="H8" s="101">
        <f>G8+B8</f>
        <v/>
      </c>
      <c r="I8" s="102">
        <f>IFERROR(LOOKUP(2,1/((B8&lt;$J$3:$R$3)*(H8&gt;=$J$3:$R$3)),$J$3:$R$3),"")</f>
        <v/>
      </c>
      <c r="J8" s="101" t="n"/>
      <c r="K8" s="101" t="n"/>
      <c r="L8" s="101" t="n"/>
      <c r="M8" s="101" t="n"/>
      <c r="N8" s="101" t="n"/>
      <c r="O8" s="101" t="n"/>
      <c r="P8" s="101" t="n"/>
      <c r="Q8" s="101" t="n"/>
      <c r="R8" s="101" t="n"/>
    </row>
    <row r="9" ht="13.15" customHeight="1" s="91">
      <c r="A9" s="103" t="inlineStr">
        <is>
          <t>Auber, David</t>
        </is>
      </c>
      <c r="B9" s="104">
        <f>'24-25'!H9</f>
        <v/>
      </c>
      <c r="C9" s="104" t="n">
        <v>10</v>
      </c>
      <c r="D9" s="104" t="n">
        <v>0</v>
      </c>
      <c r="E9" s="104" t="n">
        <v>3</v>
      </c>
      <c r="F9" s="104" t="n"/>
      <c r="G9" s="104">
        <f>C9+D9+E9+F9</f>
        <v/>
      </c>
      <c r="H9" s="104">
        <f>G9+B9</f>
        <v/>
      </c>
      <c r="I9" s="105">
        <f>IFERROR(LOOKUP(2,1/((B9&lt;$J$3:$R$3)*(H9&gt;=$J$3:$R$3)),$J$3:$R$3),"")</f>
        <v/>
      </c>
      <c r="J9" s="104" t="n"/>
      <c r="K9" s="104" t="n"/>
      <c r="L9" s="104" t="n"/>
      <c r="M9" s="104" t="n"/>
      <c r="N9" s="104" t="n"/>
      <c r="O9" s="104" t="n"/>
      <c r="P9" s="104" t="n"/>
      <c r="Q9" s="104" t="n"/>
      <c r="R9" s="104" t="n"/>
    </row>
    <row r="10" ht="13.15" customHeight="1" s="91">
      <c r="A10" s="100" t="inlineStr">
        <is>
          <t>Auber, Manuel</t>
        </is>
      </c>
      <c r="B10" s="101">
        <f>'24-25'!H10</f>
        <v/>
      </c>
      <c r="C10" s="101" t="n">
        <v>10</v>
      </c>
      <c r="D10" s="101" t="n">
        <v>0</v>
      </c>
      <c r="E10" s="101" t="n">
        <v>5</v>
      </c>
      <c r="F10" s="101" t="n"/>
      <c r="G10" s="101">
        <f>C10+D10+E10+F10</f>
        <v/>
      </c>
      <c r="H10" s="101">
        <f>G10+B10</f>
        <v/>
      </c>
      <c r="I10" s="102">
        <f>IFERROR(LOOKUP(2,1/((B10&lt;$J$3:$R$3)*(H10&gt;=$J$3:$R$3)),$J$3:$R$3),"")</f>
        <v/>
      </c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</row>
    <row r="11" ht="13.15" customHeight="1" s="91">
      <c r="A11" s="103" t="inlineStr">
        <is>
          <t>Auber, Matthias</t>
        </is>
      </c>
      <c r="B11" s="104">
        <f>'24-25'!H11</f>
        <v/>
      </c>
      <c r="C11" s="104" t="n">
        <v>10</v>
      </c>
      <c r="D11" s="104" t="n">
        <v>0</v>
      </c>
      <c r="E11" s="104" t="n">
        <v>6</v>
      </c>
      <c r="F11" s="104" t="n"/>
      <c r="G11" s="104">
        <f>C11+D11+E11+F11</f>
        <v/>
      </c>
      <c r="H11" s="104">
        <f>G11+B11</f>
        <v/>
      </c>
      <c r="I11" s="105">
        <f>IFERROR(LOOKUP(2,1/((B11&lt;$J$3:$R$3)*(H11&gt;=$J$3:$R$3)),$J$3:$R$3),"")</f>
        <v/>
      </c>
      <c r="J11" s="104" t="n"/>
      <c r="K11" s="104" t="n"/>
      <c r="L11" s="104" t="n"/>
      <c r="M11" s="104" t="n"/>
      <c r="N11" s="104" t="n"/>
      <c r="O11" s="104" t="n"/>
      <c r="P11" s="104" t="n"/>
      <c r="Q11" s="104" t="n"/>
      <c r="R11" s="104" t="n"/>
    </row>
    <row r="12" ht="13.15" customHeight="1" s="91">
      <c r="A12" s="100" t="inlineStr">
        <is>
          <t>Beck, Ronny</t>
        </is>
      </c>
      <c r="B12" s="106">
        <f>0</f>
        <v/>
      </c>
      <c r="C12" s="101" t="n">
        <v>16</v>
      </c>
      <c r="D12" s="101" t="n">
        <v>0</v>
      </c>
      <c r="E12" s="101" t="n">
        <v>5</v>
      </c>
      <c r="F12" s="101" t="n"/>
      <c r="G12" s="101">
        <f>C12+D12+E12+F12</f>
        <v/>
      </c>
      <c r="H12" s="101">
        <f>G12+B12</f>
        <v/>
      </c>
      <c r="I12" s="102">
        <f>IFERROR(LOOKUP(2,1/((B12&lt;$J$3:$R$3)*(H12&gt;=$J$3:$R$3)),$J$3:$R$3),"")</f>
        <v/>
      </c>
      <c r="J12" s="101" t="n"/>
      <c r="K12" s="101" t="n"/>
      <c r="L12" s="101" t="n"/>
      <c r="M12" s="101" t="n"/>
      <c r="N12" s="101" t="n"/>
      <c r="O12" s="101" t="n"/>
      <c r="P12" s="101" t="n"/>
      <c r="Q12" s="101" t="n"/>
      <c r="R12" s="101" t="n"/>
    </row>
    <row r="13" ht="13.15" customHeight="1" s="91">
      <c r="A13" s="103" t="inlineStr">
        <is>
          <t>Benner, Florian</t>
        </is>
      </c>
      <c r="B13" s="104">
        <f>'24-25'!H14</f>
        <v/>
      </c>
      <c r="C13" s="104" t="n">
        <v>1</v>
      </c>
      <c r="D13" s="104" t="n">
        <v>0</v>
      </c>
      <c r="E13" s="104" t="n">
        <v>0</v>
      </c>
      <c r="F13" s="104" t="n"/>
      <c r="G13" s="104">
        <f>C13+D13+E13+F13</f>
        <v/>
      </c>
      <c r="H13" s="104">
        <f>G13+B13</f>
        <v/>
      </c>
      <c r="I13" s="105">
        <f>IFERROR(LOOKUP(2,1/((B13&lt;$J$3:$R$3)*(H13&gt;=$J$3:$R$3)),$J$3:$R$3),"")</f>
        <v/>
      </c>
      <c r="J13" s="104" t="n"/>
      <c r="K13" s="104" t="n"/>
      <c r="L13" s="104" t="n"/>
      <c r="M13" s="104" t="n"/>
      <c r="N13" s="104" t="n"/>
      <c r="O13" s="104" t="n"/>
      <c r="P13" s="104" t="n"/>
      <c r="Q13" s="104" t="n"/>
      <c r="R13" s="104" t="n"/>
    </row>
    <row r="14" ht="13.15" customHeight="1" s="91">
      <c r="A14" s="100" t="inlineStr">
        <is>
          <t>Berger, Ruben</t>
        </is>
      </c>
      <c r="B14" s="106">
        <f>0</f>
        <v/>
      </c>
      <c r="C14" s="101" t="n">
        <v>17</v>
      </c>
      <c r="D14" s="101" t="n">
        <v>0</v>
      </c>
      <c r="E14" s="101" t="n">
        <v>6</v>
      </c>
      <c r="F14" s="101" t="n"/>
      <c r="G14" s="101">
        <f>C14+D14+E14+F14</f>
        <v/>
      </c>
      <c r="H14" s="101">
        <f>G14+B14</f>
        <v/>
      </c>
      <c r="I14" s="102">
        <f>IFERROR(LOOKUP(2,1/((B14&lt;$J$3:$R$3)*(H14&gt;=$J$3:$R$3)),$J$3:$R$3),"")</f>
        <v/>
      </c>
      <c r="J14" s="101" t="n"/>
      <c r="K14" s="101" t="n"/>
      <c r="L14" s="101" t="n"/>
      <c r="M14" s="101" t="n"/>
      <c r="N14" s="101" t="n"/>
      <c r="O14" s="101" t="n"/>
      <c r="P14" s="101" t="n"/>
      <c r="Q14" s="101" t="n"/>
      <c r="R14" s="101" t="n"/>
    </row>
    <row r="15" ht="13.15" customHeight="1" s="91">
      <c r="A15" s="103" t="inlineStr">
        <is>
          <t>Bister, Manuel</t>
        </is>
      </c>
      <c r="B15" s="107">
        <f>0</f>
        <v/>
      </c>
      <c r="C15" s="104" t="n">
        <v>1</v>
      </c>
      <c r="D15" s="104" t="n">
        <v>0</v>
      </c>
      <c r="E15" s="104" t="n">
        <v>0</v>
      </c>
      <c r="F15" s="104" t="n"/>
      <c r="G15" s="104">
        <f>C15+D15+E15+F15</f>
        <v/>
      </c>
      <c r="H15" s="104">
        <f>G15+B15</f>
        <v/>
      </c>
      <c r="I15" s="105">
        <f>IFERROR(LOOKUP(2,1/((B15&lt;$J$3:$R$3)*(H15&gt;=$J$3:$R$3)),$J$3:$R$3),"")</f>
        <v/>
      </c>
      <c r="J15" s="104" t="n"/>
      <c r="K15" s="104" t="n"/>
      <c r="L15" s="104" t="n"/>
      <c r="M15" s="104" t="n"/>
      <c r="N15" s="104" t="n"/>
      <c r="O15" s="104" t="n"/>
      <c r="P15" s="104" t="n"/>
      <c r="Q15" s="104" t="n"/>
      <c r="R15" s="104" t="n"/>
    </row>
    <row r="16" ht="13.15" customHeight="1" s="91">
      <c r="A16" s="100" t="inlineStr">
        <is>
          <t>Blechschmidt, Marvin</t>
        </is>
      </c>
      <c r="B16" s="106">
        <f>0</f>
        <v/>
      </c>
      <c r="C16" s="101" t="n">
        <v>5</v>
      </c>
      <c r="D16" s="101" t="n">
        <v>0</v>
      </c>
      <c r="E16" s="101" t="n">
        <v>0</v>
      </c>
      <c r="F16" s="101" t="n"/>
      <c r="G16" s="101">
        <f>C16+D16+E16+F16</f>
        <v/>
      </c>
      <c r="H16" s="101">
        <f>G16+B16</f>
        <v/>
      </c>
      <c r="I16" s="102">
        <f>IFERROR(LOOKUP(2,1/((B16&lt;$J$3:$R$3)*(H16&gt;=$J$3:$R$3)),$J$3:$R$3),"")</f>
        <v/>
      </c>
      <c r="J16" s="101" t="n"/>
      <c r="K16" s="101" t="n"/>
      <c r="L16" s="101" t="n"/>
      <c r="M16" s="101" t="n"/>
      <c r="N16" s="101" t="n"/>
      <c r="O16" s="101" t="n"/>
      <c r="P16" s="101" t="n"/>
      <c r="Q16" s="101" t="n"/>
      <c r="R16" s="101" t="n"/>
    </row>
    <row r="17" ht="13.15" customHeight="1" s="91">
      <c r="A17" s="103" t="inlineStr">
        <is>
          <t>Bühner, Ahmad Reza</t>
        </is>
      </c>
      <c r="B17" s="104">
        <f>'24-25'!H17</f>
        <v/>
      </c>
      <c r="C17" s="104" t="n">
        <v>15</v>
      </c>
      <c r="D17" s="104" t="n">
        <v>1</v>
      </c>
      <c r="E17" s="104" t="n">
        <v>9</v>
      </c>
      <c r="F17" s="104" t="n"/>
      <c r="G17" s="104">
        <f>C17+D17+E17+F17</f>
        <v/>
      </c>
      <c r="H17" s="104">
        <f>G17+B17</f>
        <v/>
      </c>
      <c r="I17" s="105">
        <f>IFERROR(LOOKUP(2,1/((B17&lt;$J$3:$R$3)*(H17&gt;=$J$3:$R$3)),$J$3:$R$3),"")</f>
        <v/>
      </c>
      <c r="J17" s="104" t="n"/>
      <c r="K17" s="104" t="n"/>
      <c r="L17" s="104" t="n"/>
      <c r="M17" s="104" t="n"/>
      <c r="N17" s="104" t="n"/>
      <c r="O17" s="104" t="n"/>
      <c r="P17" s="104" t="n"/>
      <c r="Q17" s="104" t="n"/>
      <c r="R17" s="104" t="n"/>
    </row>
    <row r="18" ht="13.15" customHeight="1" s="91">
      <c r="A18" s="100" t="inlineStr">
        <is>
          <t>Dold, Markus</t>
        </is>
      </c>
      <c r="B18" s="101">
        <f>'24-25'!H19</f>
        <v/>
      </c>
      <c r="C18" s="101" t="n">
        <v>20</v>
      </c>
      <c r="D18" s="101" t="n">
        <v>2</v>
      </c>
      <c r="E18" s="101" t="n">
        <v>8</v>
      </c>
      <c r="F18" s="101" t="n"/>
      <c r="G18" s="101">
        <f>C18+D18+E18+F18</f>
        <v/>
      </c>
      <c r="H18" s="101">
        <f>G18+B18</f>
        <v/>
      </c>
      <c r="I18" s="102">
        <f>IFERROR(LOOKUP(2,1/((B18&lt;$J$3:$R$3)*(H18&gt;=$J$3:$R$3)),$J$3:$R$3),"")</f>
        <v/>
      </c>
      <c r="J18" s="101" t="n"/>
      <c r="K18" s="101" t="n"/>
      <c r="L18" s="101" t="n"/>
      <c r="M18" s="101" t="n"/>
      <c r="N18" s="101" t="n"/>
      <c r="O18" s="101" t="n"/>
      <c r="P18" s="101" t="n"/>
      <c r="Q18" s="101" t="n"/>
      <c r="R18" s="101" t="n"/>
    </row>
    <row r="19" ht="13.15" customHeight="1" s="91">
      <c r="A19" s="103" t="inlineStr">
        <is>
          <t>Flaig, Elias</t>
        </is>
      </c>
      <c r="B19" s="104">
        <f>'24-25'!H21</f>
        <v/>
      </c>
      <c r="C19" s="104" t="n">
        <v>10</v>
      </c>
      <c r="D19" s="104" t="n">
        <v>0</v>
      </c>
      <c r="E19" s="104" t="n">
        <v>3</v>
      </c>
      <c r="F19" s="104" t="n"/>
      <c r="G19" s="104">
        <f>C19+D19+E19+F19</f>
        <v/>
      </c>
      <c r="H19" s="104">
        <f>G19+B19</f>
        <v/>
      </c>
      <c r="I19" s="105">
        <f>IFERROR(LOOKUP(2,1/((B19&lt;$J$3:$R$3)*(H19&gt;=$J$3:$R$3)),$J$3:$R$3),"")</f>
        <v/>
      </c>
      <c r="J19" s="104" t="n"/>
      <c r="K19" s="104" t="n"/>
      <c r="L19" s="104" t="n"/>
      <c r="M19" s="104" t="n"/>
      <c r="N19" s="104" t="n"/>
      <c r="O19" s="104" t="n"/>
      <c r="P19" s="104" t="n"/>
      <c r="Q19" s="104" t="n"/>
      <c r="R19" s="104" t="n"/>
    </row>
    <row r="20" ht="13.15" customHeight="1" s="91">
      <c r="A20" s="100" t="inlineStr">
        <is>
          <t>Flaig, Luis</t>
        </is>
      </c>
      <c r="B20" s="101">
        <f>'24-25'!H22</f>
        <v/>
      </c>
      <c r="C20" s="101" t="n">
        <v>22</v>
      </c>
      <c r="D20" s="101" t="n">
        <v>1</v>
      </c>
      <c r="E20" s="101" t="n">
        <v>7</v>
      </c>
      <c r="F20" s="101" t="n"/>
      <c r="G20" s="101">
        <f>C20+D20+E20+F20</f>
        <v/>
      </c>
      <c r="H20" s="101">
        <f>G20+B20</f>
        <v/>
      </c>
      <c r="I20" s="102">
        <f>IFERROR(LOOKUP(2,1/((B20&lt;$J$3:$R$3)*(H20&gt;=$J$3:$R$3)),$J$3:$R$3),"")</f>
        <v/>
      </c>
      <c r="J20" s="101" t="n"/>
      <c r="K20" s="101" t="n"/>
      <c r="L20" s="101" t="n"/>
      <c r="M20" s="101" t="n"/>
      <c r="N20" s="101" t="n"/>
      <c r="O20" s="101" t="n"/>
      <c r="P20" s="101" t="n"/>
      <c r="Q20" s="101" t="n"/>
      <c r="R20" s="101" t="n"/>
    </row>
    <row r="21" ht="13.15" customHeight="1" s="91">
      <c r="A21" s="103" t="inlineStr">
        <is>
          <t>Flaig, Tim</t>
        </is>
      </c>
      <c r="B21" s="104">
        <f>'24-25'!H24</f>
        <v/>
      </c>
      <c r="C21" s="104" t="n">
        <v>17</v>
      </c>
      <c r="D21" s="104" t="n">
        <v>2</v>
      </c>
      <c r="E21" s="104" t="n">
        <v>4</v>
      </c>
      <c r="F21" s="104" t="n"/>
      <c r="G21" s="104">
        <f>C21+D21+E21+F21</f>
        <v/>
      </c>
      <c r="H21" s="104">
        <f>G21+B21</f>
        <v/>
      </c>
      <c r="I21" s="105">
        <f>IFERROR(LOOKUP(2,1/((B21&lt;$J$3:$R$3)*(H21&gt;=$J$3:$R$3)),$J$3:$R$3),"")</f>
        <v/>
      </c>
      <c r="J21" s="104" t="n"/>
      <c r="K21" s="104" t="n"/>
      <c r="L21" s="104" t="n"/>
      <c r="M21" s="104" t="n"/>
      <c r="N21" s="104" t="n"/>
      <c r="O21" s="104" t="n"/>
      <c r="P21" s="104" t="n"/>
      <c r="Q21" s="104" t="n"/>
      <c r="R21" s="104" t="n"/>
    </row>
    <row r="22" ht="13.15" customHeight="1" s="91">
      <c r="A22" s="100" t="inlineStr">
        <is>
          <t>Fleig, Maximilian</t>
        </is>
      </c>
      <c r="B22" s="101">
        <f>'24-25'!H25</f>
        <v/>
      </c>
      <c r="C22" s="101" t="n">
        <v>5</v>
      </c>
      <c r="D22" s="101" t="n">
        <v>1</v>
      </c>
      <c r="E22" s="101" t="n">
        <v>4</v>
      </c>
      <c r="F22" s="101" t="n"/>
      <c r="G22" s="101">
        <f>C22+D22+E22+F22</f>
        <v/>
      </c>
      <c r="H22" s="101">
        <f>G22+B22</f>
        <v/>
      </c>
      <c r="I22" s="102">
        <f>IFERROR(LOOKUP(2,1/((B22&lt;$J$3:$R$3)*(H22&gt;=$J$3:$R$3)),$J$3:$R$3),"")</f>
        <v/>
      </c>
      <c r="J22" s="101" t="n"/>
      <c r="K22" s="101" t="n"/>
      <c r="L22" s="101" t="n"/>
      <c r="M22" s="101" t="n"/>
      <c r="N22" s="101" t="n"/>
      <c r="O22" s="101" t="n"/>
      <c r="P22" s="101" t="n"/>
      <c r="Q22" s="101" t="n"/>
      <c r="R22" s="101" t="n"/>
    </row>
    <row r="23" ht="13.15" customHeight="1" s="91">
      <c r="A23" s="103" t="inlineStr">
        <is>
          <t>Haag, Lorenz</t>
        </is>
      </c>
      <c r="B23" s="107">
        <f>0</f>
        <v/>
      </c>
      <c r="C23" s="104" t="n">
        <v>20</v>
      </c>
      <c r="D23" s="104" t="n">
        <v>2</v>
      </c>
      <c r="E23" s="104" t="n">
        <v>4</v>
      </c>
      <c r="F23" s="104" t="n"/>
      <c r="G23" s="104">
        <f>C23+D23+E23+F23</f>
        <v/>
      </c>
      <c r="H23" s="104">
        <f>G23+B23</f>
        <v/>
      </c>
      <c r="I23" s="105">
        <f>IFERROR(LOOKUP(2,1/((B23&lt;$J$3:$R$3)*(H23&gt;=$J$3:$R$3)),$J$3:$R$3),"")</f>
        <v/>
      </c>
      <c r="J23" s="104" t="n"/>
      <c r="K23" s="104" t="n"/>
      <c r="L23" s="104" t="n"/>
      <c r="M23" s="104" t="n"/>
      <c r="N23" s="104" t="n"/>
      <c r="O23" s="104" t="n"/>
      <c r="P23" s="104" t="n"/>
      <c r="Q23" s="104" t="n"/>
      <c r="R23" s="104" t="n"/>
    </row>
    <row r="24" ht="13.15" customHeight="1" s="91">
      <c r="A24" s="100" t="inlineStr">
        <is>
          <t>Haag, Marius</t>
        </is>
      </c>
      <c r="B24" s="106">
        <f>0</f>
        <v/>
      </c>
      <c r="C24" s="101" t="n">
        <v>18</v>
      </c>
      <c r="D24" s="101" t="n">
        <v>0</v>
      </c>
      <c r="E24" s="101" t="n">
        <v>5</v>
      </c>
      <c r="F24" s="101" t="n"/>
      <c r="G24" s="101">
        <f>C24+D24+E24+F24</f>
        <v/>
      </c>
      <c r="H24" s="101">
        <f>G24+B24</f>
        <v/>
      </c>
      <c r="I24" s="102">
        <f>IFERROR(LOOKUP(2,1/((B24&lt;$J$3:$R$3)*(H24&gt;=$J$3:$R$3)),$J$3:$R$3),"")</f>
        <v/>
      </c>
      <c r="J24" s="101" t="n"/>
      <c r="K24" s="101" t="n"/>
      <c r="L24" s="101" t="n"/>
      <c r="M24" s="101" t="n"/>
      <c r="N24" s="101" t="n"/>
      <c r="O24" s="101" t="n"/>
      <c r="P24" s="101" t="n"/>
      <c r="Q24" s="101" t="n"/>
      <c r="R24" s="101" t="n"/>
    </row>
    <row r="25" ht="13.15" customHeight="1" s="91">
      <c r="A25" s="103" t="inlineStr">
        <is>
          <t>Haas, Steffen</t>
        </is>
      </c>
      <c r="B25" s="107">
        <f>0</f>
        <v/>
      </c>
      <c r="C25" s="104" t="n">
        <v>8</v>
      </c>
      <c r="D25" s="104" t="n">
        <v>0</v>
      </c>
      <c r="E25" s="104" t="n">
        <v>4</v>
      </c>
      <c r="F25" s="104" t="n"/>
      <c r="G25" s="104">
        <f>C25+D25+E25+F25</f>
        <v/>
      </c>
      <c r="H25" s="104">
        <f>G25+B25</f>
        <v/>
      </c>
      <c r="I25" s="105">
        <f>IFERROR(LOOKUP(2,1/((B25&lt;$J$3:$R$3)*(H25&gt;=$J$3:$R$3)),$J$3:$R$3),"")</f>
        <v/>
      </c>
      <c r="J25" s="104" t="n"/>
      <c r="K25" s="104" t="n"/>
      <c r="L25" s="104" t="n"/>
      <c r="M25" s="104" t="n"/>
      <c r="N25" s="104" t="n"/>
      <c r="O25" s="104" t="n"/>
      <c r="P25" s="104" t="n"/>
      <c r="Q25" s="104" t="n"/>
      <c r="R25" s="104" t="n"/>
    </row>
    <row r="26" ht="13.15" customHeight="1" s="91">
      <c r="A26" s="100" t="inlineStr">
        <is>
          <t>Heim, Moritz</t>
        </is>
      </c>
      <c r="B26" s="106">
        <f>0</f>
        <v/>
      </c>
      <c r="C26" s="101" t="n">
        <v>8</v>
      </c>
      <c r="D26" s="101" t="n">
        <v>0</v>
      </c>
      <c r="E26" s="101" t="n">
        <v>1</v>
      </c>
      <c r="F26" s="101" t="n"/>
      <c r="G26" s="101">
        <f>C26+D26+E26+F26</f>
        <v/>
      </c>
      <c r="H26" s="101">
        <f>G26+B26</f>
        <v/>
      </c>
      <c r="I26" s="102">
        <f>IFERROR(LOOKUP(2,1/((B26&lt;$J$3:$R$3)*(H26&gt;=$J$3:$R$3)),$J$3:$R$3),"")</f>
        <v/>
      </c>
      <c r="J26" s="101" t="n"/>
      <c r="K26" s="101" t="n"/>
      <c r="L26" s="101" t="n"/>
      <c r="M26" s="101" t="n"/>
      <c r="N26" s="101" t="n"/>
      <c r="O26" s="101" t="n"/>
      <c r="P26" s="101" t="n"/>
      <c r="Q26" s="101" t="n"/>
      <c r="R26" s="101" t="n"/>
    </row>
    <row r="27" ht="13.15" customHeight="1" s="91">
      <c r="A27" s="103" t="inlineStr">
        <is>
          <t>Hoch, Philipp</t>
        </is>
      </c>
      <c r="B27" s="104">
        <f>'24-25'!H28</f>
        <v/>
      </c>
      <c r="C27" s="104" t="n">
        <v>0</v>
      </c>
      <c r="D27" s="104" t="n">
        <v>0</v>
      </c>
      <c r="E27" s="104" t="n">
        <v>1</v>
      </c>
      <c r="F27" s="104" t="n"/>
      <c r="G27" s="104">
        <f>C27+D27+E27+F27</f>
        <v/>
      </c>
      <c r="H27" s="104">
        <f>G27+B27</f>
        <v/>
      </c>
      <c r="I27" s="105">
        <f>IFERROR(LOOKUP(2,1/((B27&lt;$J$3:$R$3)*(H27&gt;=$J$3:$R$3)),$J$3:$R$3),"")</f>
        <v/>
      </c>
      <c r="J27" s="104" t="n"/>
      <c r="K27" s="104" t="n"/>
      <c r="L27" s="104" t="n"/>
      <c r="M27" s="104" t="n"/>
      <c r="N27" s="104" t="n"/>
      <c r="O27" s="104" t="n"/>
      <c r="P27" s="104" t="n"/>
      <c r="Q27" s="104" t="n"/>
      <c r="R27" s="104" t="n"/>
    </row>
    <row r="28" ht="13.15" customHeight="1" s="91">
      <c r="A28" s="101" t="inlineStr">
        <is>
          <t>Hornberger, Christian</t>
        </is>
      </c>
      <c r="B28" s="101">
        <f>'24-25'!H29</f>
        <v/>
      </c>
      <c r="C28" s="101" t="n">
        <v>21</v>
      </c>
      <c r="D28" s="101" t="n">
        <v>1</v>
      </c>
      <c r="E28" s="101" t="n">
        <v>6</v>
      </c>
      <c r="F28" s="101" t="n"/>
      <c r="G28" s="101">
        <f>C28+D28+E28+F28</f>
        <v/>
      </c>
      <c r="H28" s="101">
        <f>G28+B28</f>
        <v/>
      </c>
      <c r="I28" s="106">
        <f>IFERROR(LOOKUP(2,1/((B28&lt;$J$3:$R$3)*(H28&gt;=$J$3:$R$3)),$J$3:$R$3),"")</f>
        <v/>
      </c>
      <c r="J28" s="101" t="n"/>
      <c r="K28" s="101" t="n"/>
      <c r="L28" s="101" t="n"/>
      <c r="M28" s="101" t="n"/>
      <c r="N28" s="101" t="n"/>
      <c r="O28" s="101" t="n"/>
      <c r="P28" s="101" t="n"/>
      <c r="Q28" s="101" t="n"/>
      <c r="R28" s="101" t="n"/>
    </row>
    <row r="29" ht="13.15" customHeight="1" s="91">
      <c r="A29" s="103" t="inlineStr">
        <is>
          <t>Jauch, Heinrich</t>
        </is>
      </c>
      <c r="B29" s="107">
        <f>0</f>
        <v/>
      </c>
      <c r="C29" s="104" t="n">
        <v>8</v>
      </c>
      <c r="D29" s="104" t="n">
        <v>0</v>
      </c>
      <c r="E29" s="104" t="n">
        <v>0</v>
      </c>
      <c r="F29" s="104" t="n"/>
      <c r="G29" s="104">
        <f>C29+D29+E29+F29</f>
        <v/>
      </c>
      <c r="H29" s="104">
        <f>G29+B29</f>
        <v/>
      </c>
      <c r="I29" s="105">
        <f>IFERROR(LOOKUP(2,1/((B29&lt;$J$3:$R$3)*(H29&gt;=$J$3:$R$3)),$J$3:$R$3),"")</f>
        <v/>
      </c>
      <c r="J29" s="104" t="n"/>
      <c r="K29" s="104" t="n"/>
      <c r="L29" s="104" t="n"/>
      <c r="M29" s="104" t="n"/>
      <c r="N29" s="104" t="n"/>
      <c r="O29" s="104" t="n"/>
      <c r="P29" s="104" t="n"/>
      <c r="Q29" s="104" t="n"/>
      <c r="R29" s="104" t="n"/>
    </row>
    <row r="30" ht="13.15" customHeight="1" s="91">
      <c r="A30" s="100" t="inlineStr">
        <is>
          <t>Katzer, Florian</t>
        </is>
      </c>
      <c r="B30" s="101">
        <f>'24-25'!H23</f>
        <v/>
      </c>
      <c r="C30" s="101" t="n">
        <v>4</v>
      </c>
      <c r="D30" s="101" t="n">
        <v>0</v>
      </c>
      <c r="E30" s="101" t="n">
        <v>3</v>
      </c>
      <c r="F30" s="101" t="n"/>
      <c r="G30" s="101">
        <f>C30+D30+E30+F30</f>
        <v/>
      </c>
      <c r="H30" s="101">
        <f>G30+B30</f>
        <v/>
      </c>
      <c r="I30" s="102">
        <f>IFERROR(LOOKUP(2,1/((B30&lt;$J$3:$R$3)*(H30&gt;=$J$3:$R$3)),$J$3:$R$3),"")</f>
        <v/>
      </c>
      <c r="J30" s="101" t="n"/>
      <c r="K30" s="101" t="n"/>
      <c r="L30" s="101" t="n"/>
      <c r="M30" s="101" t="n"/>
      <c r="N30" s="101" t="n"/>
      <c r="O30" s="101" t="n"/>
      <c r="P30" s="101" t="n"/>
      <c r="Q30" s="101" t="n"/>
      <c r="R30" s="101" t="n"/>
    </row>
    <row r="31" ht="13.15" customHeight="1" s="91">
      <c r="A31" s="103" t="inlineStr">
        <is>
          <t>Klukas, Pascal</t>
        </is>
      </c>
      <c r="B31" s="104">
        <f>'24-25'!H32</f>
        <v/>
      </c>
      <c r="C31" s="104" t="n">
        <v>19</v>
      </c>
      <c r="D31" s="104" t="n">
        <v>0</v>
      </c>
      <c r="E31" s="104" t="n">
        <v>7</v>
      </c>
      <c r="F31" s="104" t="n"/>
      <c r="G31" s="104">
        <f>C31+D31+E31+F31</f>
        <v/>
      </c>
      <c r="H31" s="104">
        <f>G31+B31</f>
        <v/>
      </c>
      <c r="I31" s="105">
        <f>IFERROR(LOOKUP(2,1/((B31&lt;$J$3:$R$3)*(H31&gt;=$J$3:$R$3)),$J$3:$R$3),"")</f>
        <v/>
      </c>
      <c r="J31" s="104" t="n"/>
      <c r="K31" s="104" t="n"/>
      <c r="L31" s="104" t="n"/>
      <c r="M31" s="104" t="n"/>
      <c r="N31" s="104" t="n"/>
      <c r="O31" s="104" t="n"/>
      <c r="P31" s="104" t="n"/>
      <c r="Q31" s="104" t="n"/>
      <c r="R31" s="104" t="n"/>
    </row>
    <row r="32" ht="13.15" customHeight="1" s="91">
      <c r="A32" s="100" t="inlineStr">
        <is>
          <t>Krohn, Florian</t>
        </is>
      </c>
      <c r="B32" s="106">
        <f>0</f>
        <v/>
      </c>
      <c r="C32" s="101" t="n">
        <v>2</v>
      </c>
      <c r="D32" s="101" t="n">
        <v>0</v>
      </c>
      <c r="E32" s="101" t="n">
        <v>0</v>
      </c>
      <c r="F32" s="101" t="n"/>
      <c r="G32" s="101">
        <f>C32+D32+E32+F32</f>
        <v/>
      </c>
      <c r="H32" s="101">
        <f>G32+B32</f>
        <v/>
      </c>
      <c r="I32" s="102">
        <f>IFERROR(LOOKUP(2,1/((B32&lt;$J$3:$R$3)*(H32&gt;=$J$3:$R$3)),$J$3:$R$3),"")</f>
        <v/>
      </c>
      <c r="J32" s="101" t="n"/>
      <c r="K32" s="101" t="n"/>
      <c r="L32" s="101" t="n"/>
      <c r="M32" s="101" t="n"/>
      <c r="N32" s="101" t="n"/>
      <c r="O32" s="101" t="n"/>
      <c r="P32" s="101" t="n"/>
      <c r="Q32" s="101" t="n"/>
      <c r="R32" s="101" t="n"/>
    </row>
    <row r="33" ht="13.15" customHeight="1" s="91">
      <c r="A33" s="103" t="inlineStr">
        <is>
          <t>Kuner, Andreas</t>
        </is>
      </c>
      <c r="B33" s="104">
        <f>'24-25'!H34</f>
        <v/>
      </c>
      <c r="C33" s="104" t="n">
        <v>20</v>
      </c>
      <c r="D33" s="104" t="n">
        <v>2</v>
      </c>
      <c r="E33" s="104" t="n">
        <v>4</v>
      </c>
      <c r="F33" s="104" t="n"/>
      <c r="G33" s="104">
        <f>C33+D33+E33+F33</f>
        <v/>
      </c>
      <c r="H33" s="104">
        <f>G33+B33</f>
        <v/>
      </c>
      <c r="I33" s="105">
        <f>IFERROR(LOOKUP(2,1/((B33&lt;$J$3:$R$3)*(H33&gt;=$J$3:$R$3)),$J$3:$R$3),"")</f>
        <v/>
      </c>
      <c r="J33" s="104" t="n"/>
      <c r="K33" s="104" t="n"/>
      <c r="L33" s="104" t="n"/>
      <c r="M33" s="104" t="n"/>
      <c r="N33" s="104" t="n"/>
      <c r="O33" s="104" t="n"/>
      <c r="P33" s="104" t="n"/>
      <c r="Q33" s="104" t="n"/>
      <c r="R33" s="104" t="n"/>
    </row>
    <row r="34" ht="13.15" customHeight="1" s="91">
      <c r="A34" s="100" t="inlineStr">
        <is>
          <t>Kunz, Holger</t>
        </is>
      </c>
      <c r="B34" s="101">
        <f>'24-25'!H35</f>
        <v/>
      </c>
      <c r="C34" s="101" t="n">
        <v>17</v>
      </c>
      <c r="D34" s="101" t="n">
        <v>2</v>
      </c>
      <c r="E34" s="101" t="n">
        <v>7</v>
      </c>
      <c r="F34" s="101" t="n"/>
      <c r="G34" s="101">
        <f>C34+D34+E34+F34</f>
        <v/>
      </c>
      <c r="H34" s="101">
        <f>G34+B34</f>
        <v/>
      </c>
      <c r="I34" s="102">
        <f>IFERROR(LOOKUP(2,1/((B34&lt;$J$3:$R$3)*(H34&gt;=$J$3:$R$3)),$J$3:$R$3),"")</f>
        <v/>
      </c>
      <c r="J34" s="101" t="n"/>
      <c r="K34" s="101" t="n"/>
      <c r="L34" s="101" t="n"/>
      <c r="M34" s="101" t="n"/>
      <c r="N34" s="101" t="n"/>
      <c r="O34" s="101" t="n"/>
      <c r="P34" s="101" t="n"/>
      <c r="Q34" s="101" t="n"/>
      <c r="R34" s="101" t="n"/>
    </row>
    <row r="35" ht="13.15" customHeight="1" s="91">
      <c r="A35" s="103" t="inlineStr">
        <is>
          <t>Linder, Andreas</t>
        </is>
      </c>
      <c r="B35" s="104">
        <f>'24-25'!H37</f>
        <v/>
      </c>
      <c r="C35" s="104" t="n">
        <v>12</v>
      </c>
      <c r="D35" s="104" t="n">
        <v>0</v>
      </c>
      <c r="E35" s="104" t="n">
        <v>4</v>
      </c>
      <c r="F35" s="104" t="n"/>
      <c r="G35" s="104">
        <f>C35+D35+E35+F35</f>
        <v/>
      </c>
      <c r="H35" s="104">
        <f>G35+B35</f>
        <v/>
      </c>
      <c r="I35" s="105">
        <f>IFERROR(LOOKUP(2,1/((B35&lt;$J$3:$R$3)*(H35&gt;=$J$3:$R$3)),$J$3:$R$3),"")</f>
        <v/>
      </c>
      <c r="J35" s="104" t="n"/>
      <c r="K35" s="104" t="n"/>
      <c r="L35" s="104" t="n"/>
      <c r="M35" s="104" t="n"/>
      <c r="N35" s="104" t="n"/>
      <c r="O35" s="104" t="n"/>
      <c r="P35" s="104" t="n"/>
      <c r="Q35" s="104" t="n"/>
      <c r="R35" s="104" t="n"/>
    </row>
    <row r="36" ht="13.15" customHeight="1" s="91">
      <c r="A36" s="100" t="inlineStr">
        <is>
          <t>Lobert, Marius</t>
        </is>
      </c>
      <c r="B36" s="101">
        <f>'24-25'!H38</f>
        <v/>
      </c>
      <c r="C36" s="101" t="n">
        <v>13</v>
      </c>
      <c r="D36" s="101" t="n">
        <v>0</v>
      </c>
      <c r="E36" s="101" t="n">
        <v>6</v>
      </c>
      <c r="F36" s="101" t="n"/>
      <c r="G36" s="101">
        <f>C36+D36+E36+F36</f>
        <v/>
      </c>
      <c r="H36" s="101">
        <f>G36+B36</f>
        <v/>
      </c>
      <c r="I36" s="102">
        <f>IFERROR(LOOKUP(2,1/((B36&lt;$J$3:$R$3)*(H36&gt;=$J$3:$R$3)),$J$3:$R$3),"")</f>
        <v/>
      </c>
      <c r="J36" s="101" t="n"/>
      <c r="K36" s="101" t="n"/>
      <c r="L36" s="101" t="n"/>
      <c r="M36" s="101" t="n"/>
      <c r="N36" s="101" t="n"/>
      <c r="O36" s="101" t="n"/>
      <c r="P36" s="101" t="n"/>
      <c r="Q36" s="101" t="n"/>
      <c r="R36" s="101" t="n"/>
    </row>
    <row r="37" ht="13.15" customHeight="1" s="91">
      <c r="A37" s="103" t="inlineStr">
        <is>
          <t>Löffler, Marius</t>
        </is>
      </c>
      <c r="B37" s="104">
        <f>'24-25'!H39</f>
        <v/>
      </c>
      <c r="C37" s="104" t="n">
        <v>18</v>
      </c>
      <c r="D37" s="104" t="n">
        <v>1</v>
      </c>
      <c r="E37" s="104" t="n">
        <v>4</v>
      </c>
      <c r="F37" s="104" t="n"/>
      <c r="G37" s="104">
        <f>C37+D37+E37+F37</f>
        <v/>
      </c>
      <c r="H37" s="104">
        <f>G37+B37</f>
        <v/>
      </c>
      <c r="I37" s="105">
        <f>IFERROR(LOOKUP(2,1/((B37&lt;$J$3:$R$3)*(H37&gt;=$J$3:$R$3)),$J$3:$R$3),"")</f>
        <v/>
      </c>
      <c r="J37" s="104" t="n"/>
      <c r="K37" s="104" t="n"/>
      <c r="L37" s="104" t="n"/>
      <c r="M37" s="104" t="n"/>
      <c r="N37" s="104" t="n"/>
      <c r="O37" s="104" t="n"/>
      <c r="P37" s="104" t="n"/>
      <c r="Q37" s="104" t="n"/>
      <c r="R37" s="104" t="n"/>
    </row>
    <row r="38" ht="13.15" customHeight="1" s="91">
      <c r="A38" s="100" t="inlineStr">
        <is>
          <t>Mager, Elias</t>
        </is>
      </c>
      <c r="B38" s="106">
        <f>0</f>
        <v/>
      </c>
      <c r="C38" s="101" t="n">
        <v>13</v>
      </c>
      <c r="D38" s="101" t="n">
        <v>0</v>
      </c>
      <c r="E38" s="101" t="n">
        <v>5</v>
      </c>
      <c r="F38" s="101" t="n"/>
      <c r="G38" s="101">
        <f>C38+D38+E38+F38</f>
        <v/>
      </c>
      <c r="H38" s="101">
        <f>G38+B38</f>
        <v/>
      </c>
      <c r="I38" s="102">
        <f>IFERROR(LOOKUP(2,1/((B38&lt;$J$3:$R$3)*(H38&gt;=$J$3:$R$3)),$J$3:$R$3),"")</f>
        <v/>
      </c>
      <c r="J38" s="101" t="n"/>
      <c r="K38" s="101" t="n"/>
      <c r="L38" s="101" t="n"/>
      <c r="M38" s="101" t="n"/>
      <c r="N38" s="101" t="n"/>
      <c r="O38" s="101" t="n"/>
      <c r="P38" s="101" t="n"/>
      <c r="Q38" s="101" t="n"/>
      <c r="R38" s="101" t="n"/>
    </row>
    <row r="39" ht="13.15" customHeight="1" s="91">
      <c r="A39" s="103" t="inlineStr">
        <is>
          <t>Mager, Max</t>
        </is>
      </c>
      <c r="B39" s="107">
        <f>0</f>
        <v/>
      </c>
      <c r="C39" s="104" t="n">
        <v>19</v>
      </c>
      <c r="D39" s="104" t="n">
        <v>1</v>
      </c>
      <c r="E39" s="104" t="n">
        <v>9</v>
      </c>
      <c r="F39" s="104" t="n"/>
      <c r="G39" s="104">
        <f>C39+D39+E39+F39</f>
        <v/>
      </c>
      <c r="H39" s="104">
        <f>G39+B39</f>
        <v/>
      </c>
      <c r="I39" s="105">
        <f>IFERROR(LOOKUP(2,1/((B39&lt;$J$3:$R$3)*(H39&gt;=$J$3:$R$3)),$J$3:$R$3),"")</f>
        <v/>
      </c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4" t="n"/>
    </row>
    <row r="40" ht="13.15" customHeight="1" s="91">
      <c r="A40" s="100" t="inlineStr">
        <is>
          <t>Marte, Marvin</t>
        </is>
      </c>
      <c r="B40" s="106">
        <f>0</f>
        <v/>
      </c>
      <c r="C40" s="101" t="n">
        <v>0</v>
      </c>
      <c r="D40" s="101" t="n">
        <v>0</v>
      </c>
      <c r="E40" s="101" t="n">
        <v>2</v>
      </c>
      <c r="F40" s="101" t="n"/>
      <c r="G40" s="101">
        <f>C40+D40+E40+F40</f>
        <v/>
      </c>
      <c r="H40" s="101">
        <f>G40+B40</f>
        <v/>
      </c>
      <c r="I40" s="102">
        <f>IFERROR(LOOKUP(2,1/((B40&lt;$J$3:$R$3)*(H40&gt;=$J$3:$R$3)),$J$3:$R$3),"")</f>
        <v/>
      </c>
      <c r="J40" s="101" t="n"/>
      <c r="K40" s="101" t="n"/>
      <c r="L40" s="101" t="n"/>
      <c r="M40" s="101" t="n"/>
      <c r="N40" s="101" t="n"/>
      <c r="O40" s="101" t="n"/>
      <c r="P40" s="101" t="n"/>
      <c r="Q40" s="101" t="n"/>
      <c r="R40" s="101" t="n"/>
    </row>
    <row r="41" ht="13.15" customHeight="1" s="91">
      <c r="A41" s="103" t="inlineStr">
        <is>
          <t>Mauch, Nico</t>
        </is>
      </c>
      <c r="B41" s="107">
        <f>0</f>
        <v/>
      </c>
      <c r="C41" s="104" t="n">
        <v>0</v>
      </c>
      <c r="D41" s="104" t="n">
        <v>0</v>
      </c>
      <c r="E41" s="104" t="n">
        <v>1</v>
      </c>
      <c r="F41" s="104" t="n"/>
      <c r="G41" s="104">
        <f>C41+D41+E41+F41</f>
        <v/>
      </c>
      <c r="H41" s="104">
        <f>G41+B41</f>
        <v/>
      </c>
      <c r="I41" s="105">
        <f>IFERROR(LOOKUP(2,1/((B41&lt;$J$3:$R$3)*(H41&gt;=$J$3:$R$3)),$J$3:$R$3),"")</f>
        <v/>
      </c>
      <c r="J41" s="104" t="n"/>
      <c r="K41" s="104" t="n"/>
      <c r="L41" s="104" t="n"/>
      <c r="M41" s="104" t="n"/>
      <c r="N41" s="104" t="n"/>
      <c r="O41" s="104" t="n"/>
      <c r="P41" s="104" t="n"/>
      <c r="Q41" s="104" t="n"/>
      <c r="R41" s="104" t="n"/>
    </row>
    <row r="42" ht="13.15" customHeight="1" s="91">
      <c r="A42" s="100" t="inlineStr">
        <is>
          <t>Moosmann, Jakob</t>
        </is>
      </c>
      <c r="B42" s="106">
        <f>0</f>
        <v/>
      </c>
      <c r="C42" s="101" t="n">
        <v>2</v>
      </c>
      <c r="D42" s="101" t="n">
        <v>0</v>
      </c>
      <c r="E42" s="101" t="n">
        <v>0</v>
      </c>
      <c r="F42" s="101" t="n"/>
      <c r="G42" s="101">
        <f>C42+D42+E42+F42</f>
        <v/>
      </c>
      <c r="H42" s="101">
        <f>G42+B42</f>
        <v/>
      </c>
      <c r="I42" s="102">
        <f>IFERROR(LOOKUP(2,1/((B42&lt;$J$3:$R$3)*(H42&gt;=$J$3:$R$3)),$J$3:$R$3),"")</f>
        <v/>
      </c>
      <c r="J42" s="101" t="n"/>
      <c r="K42" s="101" t="n"/>
      <c r="L42" s="101" t="n"/>
      <c r="M42" s="101" t="n"/>
      <c r="N42" s="101" t="n"/>
      <c r="O42" s="101" t="n"/>
      <c r="P42" s="101" t="n"/>
      <c r="Q42" s="101" t="n"/>
      <c r="R42" s="101" t="n"/>
    </row>
    <row r="43" ht="13.15" customHeight="1" s="91">
      <c r="A43" s="103" t="inlineStr">
        <is>
          <t>Müller, Moritz</t>
        </is>
      </c>
      <c r="B43" s="104">
        <f>'24-25'!H42</f>
        <v/>
      </c>
      <c r="C43" s="104" t="n">
        <v>18</v>
      </c>
      <c r="D43" s="104" t="n">
        <v>0</v>
      </c>
      <c r="E43" s="104" t="n">
        <v>4</v>
      </c>
      <c r="F43" s="104" t="n"/>
      <c r="G43" s="104">
        <f>C43+D43+E43+F43</f>
        <v/>
      </c>
      <c r="H43" s="104">
        <f>G43+B43</f>
        <v/>
      </c>
      <c r="I43" s="105">
        <f>IFERROR(LOOKUP(2,1/((B43&lt;$J$3:$R$3)*(H43&gt;=$J$3:$R$3)),$J$3:$R$3),"")</f>
        <v/>
      </c>
      <c r="J43" s="104" t="n"/>
      <c r="K43" s="104" t="n"/>
      <c r="L43" s="104" t="n"/>
      <c r="M43" s="104" t="n"/>
      <c r="N43" s="104" t="n"/>
      <c r="O43" s="104" t="n"/>
      <c r="P43" s="104" t="n"/>
      <c r="Q43" s="104" t="n"/>
      <c r="R43" s="104" t="n"/>
    </row>
    <row r="44" ht="13.15" customHeight="1" s="91">
      <c r="A44" s="100" t="inlineStr">
        <is>
          <t>Müllhäuser, Florian</t>
        </is>
      </c>
      <c r="B44" s="106">
        <f>0</f>
        <v/>
      </c>
      <c r="C44" s="101" t="n">
        <v>1</v>
      </c>
      <c r="D44" s="101" t="n">
        <v>0</v>
      </c>
      <c r="E44" s="101" t="n">
        <v>0</v>
      </c>
      <c r="F44" s="101" t="n"/>
      <c r="G44" s="101">
        <f>C44+D44+E44+F44</f>
        <v/>
      </c>
      <c r="H44" s="101">
        <f>G44+B44</f>
        <v/>
      </c>
      <c r="I44" s="102">
        <f>IFERROR(LOOKUP(2,1/((B44&lt;$J$3:$R$3)*(H44&gt;=$J$3:$R$3)),$J$3:$R$3),"")</f>
        <v/>
      </c>
      <c r="J44" s="101" t="n"/>
      <c r="K44" s="101" t="n"/>
      <c r="L44" s="101" t="n"/>
      <c r="M44" s="101" t="n"/>
      <c r="N44" s="101" t="n"/>
      <c r="O44" s="101" t="n"/>
      <c r="P44" s="101" t="n"/>
      <c r="Q44" s="101" t="n"/>
      <c r="R44" s="101" t="n"/>
    </row>
    <row r="45" ht="13.15" customHeight="1" s="91">
      <c r="A45" s="103" t="inlineStr">
        <is>
          <t>Müllhäuser, Nils</t>
        </is>
      </c>
      <c r="B45" s="107">
        <f>0</f>
        <v/>
      </c>
      <c r="C45" s="104" t="n">
        <v>13</v>
      </c>
      <c r="D45" s="104" t="n">
        <v>0</v>
      </c>
      <c r="E45" s="104" t="n">
        <v>5</v>
      </c>
      <c r="F45" s="104" t="n"/>
      <c r="G45" s="104">
        <f>C45+D45+E45+F45</f>
        <v/>
      </c>
      <c r="H45" s="104">
        <f>G45+B45</f>
        <v/>
      </c>
      <c r="I45" s="105">
        <f>IFERROR(LOOKUP(2,1/((B45&lt;$J$3:$R$3)*(H45&gt;=$J$3:$R$3)),$J$3:$R$3),"")</f>
        <v/>
      </c>
      <c r="J45" s="104" t="n"/>
      <c r="K45" s="104" t="n"/>
      <c r="L45" s="104" t="n"/>
      <c r="M45" s="104" t="n"/>
      <c r="N45" s="104" t="n"/>
      <c r="O45" s="104" t="n"/>
      <c r="P45" s="104" t="n"/>
      <c r="Q45" s="104" t="n"/>
      <c r="R45" s="104" t="n"/>
    </row>
    <row r="46" ht="13.15" customHeight="1" s="91">
      <c r="A46" s="100" t="inlineStr">
        <is>
          <t>Pforte, Lukas</t>
        </is>
      </c>
      <c r="B46" s="106">
        <f>0</f>
        <v/>
      </c>
      <c r="C46" s="101" t="n">
        <v>5</v>
      </c>
      <c r="D46" s="101" t="n">
        <v>0</v>
      </c>
      <c r="E46" s="101" t="n">
        <v>0</v>
      </c>
      <c r="F46" s="101" t="n"/>
      <c r="G46" s="101">
        <f>C46+D46+E46+F46</f>
        <v/>
      </c>
      <c r="H46" s="101">
        <f>G46+B46</f>
        <v/>
      </c>
      <c r="I46" s="102">
        <f>IFERROR(LOOKUP(2,1/((B46&lt;$J$3:$R$3)*(H46&gt;=$J$3:$R$3)),$J$3:$R$3),"")</f>
        <v/>
      </c>
      <c r="J46" s="101" t="n"/>
      <c r="K46" s="101" t="n"/>
      <c r="L46" s="101" t="n"/>
      <c r="M46" s="101" t="n"/>
      <c r="N46" s="101" t="n"/>
      <c r="O46" s="101" t="n"/>
      <c r="P46" s="101" t="n"/>
      <c r="Q46" s="101" t="n"/>
      <c r="R46" s="101" t="n"/>
    </row>
    <row r="47" ht="13.15" customHeight="1" s="91">
      <c r="A47" s="103" t="inlineStr">
        <is>
          <t>Pfundstein, Andreas</t>
        </is>
      </c>
      <c r="B47" s="104">
        <f>'24-25'!H45</f>
        <v/>
      </c>
      <c r="C47" s="104" t="n">
        <v>4</v>
      </c>
      <c r="D47" s="104" t="n">
        <v>0</v>
      </c>
      <c r="E47" s="104" t="n">
        <v>0</v>
      </c>
      <c r="F47" s="104" t="n"/>
      <c r="G47" s="104">
        <f>C47+D47+E47+F47</f>
        <v/>
      </c>
      <c r="H47" s="104">
        <f>G47+B47</f>
        <v/>
      </c>
      <c r="I47" s="105">
        <f>IFERROR(LOOKUP(2,1/((B47&lt;$J$3:$R$3)*(H47&gt;=$J$3:$R$3)),$J$3:$R$3),"")</f>
        <v/>
      </c>
      <c r="J47" s="104" t="n"/>
      <c r="K47" s="104" t="n"/>
      <c r="L47" s="104" t="n"/>
      <c r="M47" s="104" t="n"/>
      <c r="N47" s="104" t="n"/>
      <c r="O47" s="104" t="n"/>
      <c r="P47" s="104" t="n"/>
      <c r="Q47" s="104" t="n"/>
      <c r="R47" s="104" t="n"/>
    </row>
    <row r="48" ht="13.15" customHeight="1" s="91">
      <c r="A48" s="100" t="inlineStr">
        <is>
          <t>Preuss, Jonas</t>
        </is>
      </c>
      <c r="B48" s="101">
        <f>'24-25'!H46</f>
        <v/>
      </c>
      <c r="C48" s="101" t="n">
        <v>9</v>
      </c>
      <c r="D48" s="101" t="n">
        <v>0</v>
      </c>
      <c r="E48" s="101" t="n">
        <v>6</v>
      </c>
      <c r="F48" s="101" t="n"/>
      <c r="G48" s="101">
        <f>C48+D48+E48+F48</f>
        <v/>
      </c>
      <c r="H48" s="101">
        <f>G48+B48</f>
        <v/>
      </c>
      <c r="I48" s="102">
        <f>IFERROR(LOOKUP(2,1/((B48&lt;$J$3:$R$3)*(H48&gt;=$J$3:$R$3)),$J$3:$R$3),"")</f>
        <v/>
      </c>
      <c r="J48" s="101" t="n"/>
      <c r="K48" s="101" t="n"/>
      <c r="L48" s="101" t="n"/>
      <c r="M48" s="101" t="n"/>
      <c r="N48" s="101" t="n"/>
      <c r="O48" s="101" t="n"/>
      <c r="P48" s="101" t="n"/>
      <c r="Q48" s="101" t="n"/>
      <c r="R48" s="101" t="n"/>
    </row>
    <row r="49" ht="13.15" customHeight="1" s="91">
      <c r="A49" s="103" t="inlineStr">
        <is>
          <t>Rieder, Sebastian</t>
        </is>
      </c>
      <c r="B49" s="107">
        <f>0</f>
        <v/>
      </c>
      <c r="C49" s="104" t="n">
        <v>18</v>
      </c>
      <c r="D49" s="104" t="n">
        <v>0</v>
      </c>
      <c r="E49" s="104" t="n">
        <v>6</v>
      </c>
      <c r="F49" s="104" t="n"/>
      <c r="G49" s="104">
        <f>C49+D49+E49+F49</f>
        <v/>
      </c>
      <c r="H49" s="104">
        <f>G49+B49</f>
        <v/>
      </c>
      <c r="I49" s="105">
        <f>IFERROR(LOOKUP(2,1/((B49&lt;$J$3:$R$3)*(H49&gt;=$J$3:$R$3)),$J$3:$R$3),"")</f>
        <v/>
      </c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4" t="n"/>
    </row>
    <row r="50" ht="13.15" customHeight="1" s="91">
      <c r="A50" s="100" t="inlineStr">
        <is>
          <t>Sauter, Alexander</t>
        </is>
      </c>
      <c r="B50" s="106">
        <f>0</f>
        <v/>
      </c>
      <c r="C50" s="101" t="n">
        <v>2</v>
      </c>
      <c r="D50" s="101" t="n">
        <v>0</v>
      </c>
      <c r="E50" s="101" t="n">
        <v>0</v>
      </c>
      <c r="F50" s="101" t="n"/>
      <c r="G50" s="101">
        <f>C50+D50+E50+F50</f>
        <v/>
      </c>
      <c r="H50" s="101">
        <f>G50+B50</f>
        <v/>
      </c>
      <c r="I50" s="102">
        <f>IFERROR(LOOKUP(2,1/((B50&lt;$J$3:$R$3)*(H50&gt;=$J$3:$R$3)),$J$3:$R$3),"")</f>
        <v/>
      </c>
      <c r="J50" s="101" t="n"/>
      <c r="K50" s="101" t="n"/>
      <c r="L50" s="101" t="n"/>
      <c r="M50" s="101" t="n"/>
      <c r="N50" s="101" t="n"/>
      <c r="O50" s="101" t="n"/>
      <c r="P50" s="101" t="n"/>
      <c r="Q50" s="101" t="n"/>
      <c r="R50" s="101" t="n"/>
    </row>
    <row r="51" ht="13.15" customHeight="1" s="91">
      <c r="A51" s="103" t="inlineStr">
        <is>
          <t>Sauter, Marius</t>
        </is>
      </c>
      <c r="B51" s="107">
        <f>0</f>
        <v/>
      </c>
      <c r="C51" s="104" t="n">
        <v>14</v>
      </c>
      <c r="D51" s="104" t="n">
        <v>0</v>
      </c>
      <c r="E51" s="104" t="n">
        <v>4</v>
      </c>
      <c r="F51" s="104" t="n"/>
      <c r="G51" s="104">
        <f>C51+D51+E51+F51</f>
        <v/>
      </c>
      <c r="H51" s="104">
        <f>G51+B51</f>
        <v/>
      </c>
      <c r="I51" s="105">
        <f>IFERROR(LOOKUP(2,1/((B51&lt;$J$3:$R$3)*(H51&gt;=$J$3:$R$3)),$J$3:$R$3),"")</f>
        <v/>
      </c>
      <c r="J51" s="104" t="n"/>
      <c r="K51" s="104" t="n"/>
      <c r="L51" s="104" t="n"/>
      <c r="M51" s="104" t="n"/>
      <c r="N51" s="104" t="n"/>
      <c r="O51" s="104" t="n"/>
      <c r="P51" s="104" t="n"/>
      <c r="Q51" s="104" t="n"/>
      <c r="R51" s="104" t="n"/>
    </row>
    <row r="52" ht="13.15" customHeight="1" s="91">
      <c r="A52" s="100" t="inlineStr">
        <is>
          <t>Schaumann, Daniel</t>
        </is>
      </c>
      <c r="B52" s="101">
        <f>'24-25'!H48</f>
        <v/>
      </c>
      <c r="C52" s="101" t="n">
        <v>22</v>
      </c>
      <c r="D52" s="101" t="n">
        <v>2</v>
      </c>
      <c r="E52" s="101" t="n">
        <v>6</v>
      </c>
      <c r="F52" s="101" t="n"/>
      <c r="G52" s="101">
        <f>C52+D52+E52+F52</f>
        <v/>
      </c>
      <c r="H52" s="101">
        <f>G52+B52</f>
        <v/>
      </c>
      <c r="I52" s="102">
        <f>IFERROR(LOOKUP(2,1/((B52&lt;$J$3:$R$3)*(H52&gt;=$J$3:$R$3)),$J$3:$R$3),"")</f>
        <v/>
      </c>
      <c r="J52" s="101" t="n"/>
      <c r="K52" s="101" t="n"/>
      <c r="L52" s="101" t="n"/>
      <c r="M52" s="101" t="n"/>
      <c r="N52" s="101" t="n"/>
      <c r="O52" s="101" t="n"/>
      <c r="P52" s="101" t="n"/>
      <c r="Q52" s="101" t="n"/>
      <c r="R52" s="101" t="n"/>
    </row>
    <row r="53" ht="13.15" customHeight="1" s="91">
      <c r="A53" s="103" t="inlineStr">
        <is>
          <t>Schaumann, David</t>
        </is>
      </c>
      <c r="B53" s="104">
        <f>'24-25'!H49</f>
        <v/>
      </c>
      <c r="C53" s="104" t="n">
        <v>19</v>
      </c>
      <c r="D53" s="104" t="n">
        <v>2</v>
      </c>
      <c r="E53" s="104" t="n">
        <v>8</v>
      </c>
      <c r="F53" s="104" t="n"/>
      <c r="G53" s="104">
        <f>C53+D53+E53+F53</f>
        <v/>
      </c>
      <c r="H53" s="104">
        <f>G53+B53</f>
        <v/>
      </c>
      <c r="I53" s="105">
        <f>IFERROR(LOOKUP(2,1/((B53&lt;$J$3:$R$3)*(H53&gt;=$J$3:$R$3)),$J$3:$R$3),"")</f>
        <v/>
      </c>
      <c r="J53" s="104" t="n"/>
      <c r="K53" s="104" t="n"/>
      <c r="L53" s="104" t="n"/>
      <c r="M53" s="104" t="n"/>
      <c r="N53" s="104" t="n"/>
      <c r="O53" s="104" t="n"/>
      <c r="P53" s="104" t="n"/>
      <c r="Q53" s="104" t="n"/>
      <c r="R53" s="104" t="n"/>
    </row>
    <row r="54" ht="13.15" customHeight="1" s="91">
      <c r="A54" s="100" t="inlineStr">
        <is>
          <t>Schaumann, Sebastian</t>
        </is>
      </c>
      <c r="B54" s="101">
        <f>'24-25'!H50</f>
        <v/>
      </c>
      <c r="C54" s="101" t="n">
        <v>10</v>
      </c>
      <c r="D54" s="101" t="n">
        <v>1</v>
      </c>
      <c r="E54" s="101" t="n">
        <v>4</v>
      </c>
      <c r="F54" s="101" t="n"/>
      <c r="G54" s="101">
        <f>C54+D54+E54+F54</f>
        <v/>
      </c>
      <c r="H54" s="101">
        <f>G54+B54</f>
        <v/>
      </c>
      <c r="I54" s="102">
        <f>IFERROR(LOOKUP(2,1/((B54&lt;$J$3:$R$3)*(H54&gt;=$J$3:$R$3)),$J$3:$R$3),"")</f>
        <v/>
      </c>
      <c r="J54" s="101" t="n"/>
      <c r="K54" s="101" t="n"/>
      <c r="L54" s="101" t="n"/>
      <c r="M54" s="101" t="n"/>
      <c r="N54" s="101" t="n"/>
      <c r="O54" s="101" t="n"/>
      <c r="P54" s="101" t="n"/>
      <c r="Q54" s="101" t="n"/>
      <c r="R54" s="101" t="n"/>
    </row>
    <row r="55" ht="13.15" customHeight="1" s="91">
      <c r="A55" s="103" t="inlineStr">
        <is>
          <t>Schmidt, Nicolas</t>
        </is>
      </c>
      <c r="B55" s="107">
        <f>0</f>
        <v/>
      </c>
      <c r="C55" s="104" t="n">
        <v>7</v>
      </c>
      <c r="D55" s="104" t="n">
        <v>0</v>
      </c>
      <c r="E55" s="104" t="n">
        <v>2</v>
      </c>
      <c r="F55" s="104" t="n"/>
      <c r="G55" s="104">
        <f>C55+D55+E55+F55</f>
        <v/>
      </c>
      <c r="H55" s="104">
        <f>G55+B55</f>
        <v/>
      </c>
      <c r="I55" s="105">
        <f>IFERROR(LOOKUP(2,1/((B55&lt;$J$3:$R$3)*(H55&gt;=$J$3:$R$3)),$J$3:$R$3),"")</f>
        <v/>
      </c>
      <c r="J55" s="104" t="n"/>
      <c r="K55" s="104" t="n"/>
      <c r="L55" s="104" t="n"/>
      <c r="M55" s="104" t="n"/>
      <c r="N55" s="104" t="n"/>
      <c r="O55" s="104" t="n"/>
      <c r="P55" s="104" t="n"/>
      <c r="Q55" s="104" t="n"/>
      <c r="R55" s="104" t="n"/>
    </row>
    <row r="56" ht="13.15" customHeight="1" s="91">
      <c r="A56" s="100" t="inlineStr">
        <is>
          <t>Staiger, Simon</t>
        </is>
      </c>
      <c r="B56" s="106">
        <f>0</f>
        <v/>
      </c>
      <c r="C56" s="101" t="n">
        <v>16</v>
      </c>
      <c r="D56" s="101" t="n">
        <v>0</v>
      </c>
      <c r="E56" s="101" t="n">
        <v>3</v>
      </c>
      <c r="F56" s="101" t="n"/>
      <c r="G56" s="101">
        <f>C56+D56+E56+F56</f>
        <v/>
      </c>
      <c r="H56" s="101">
        <f>G56+B56</f>
        <v/>
      </c>
      <c r="I56" s="102">
        <f>IFERROR(LOOKUP(2,1/((B56&lt;$J$3:$R$3)*(H56&gt;=$J$3:$R$3)),$J$3:$R$3),"")</f>
        <v/>
      </c>
      <c r="J56" s="101" t="n"/>
      <c r="K56" s="101" t="n"/>
      <c r="L56" s="101" t="n"/>
      <c r="M56" s="101" t="n"/>
      <c r="N56" s="101" t="n"/>
      <c r="O56" s="101" t="n"/>
      <c r="P56" s="101" t="n"/>
      <c r="Q56" s="101" t="n"/>
      <c r="R56" s="101" t="n"/>
    </row>
    <row r="57" ht="13.15" customHeight="1" s="91">
      <c r="A57" s="103" t="inlineStr">
        <is>
          <t>Staiger, Tobias</t>
        </is>
      </c>
      <c r="B57" s="104">
        <f>'24-25'!H54</f>
        <v/>
      </c>
      <c r="C57" s="104" t="n">
        <v>11</v>
      </c>
      <c r="D57" s="104" t="n">
        <v>2</v>
      </c>
      <c r="E57" s="104" t="n">
        <v>9</v>
      </c>
      <c r="F57" s="104" t="n"/>
      <c r="G57" s="104">
        <f>C57+D57+E57+F57</f>
        <v/>
      </c>
      <c r="H57" s="104">
        <f>G57+B57</f>
        <v/>
      </c>
      <c r="I57" s="105">
        <f>IFERROR(LOOKUP(2,1/((B57&lt;$J$3:$R$3)*(H57&gt;=$J$3:$R$3)),$J$3:$R$3),"")</f>
        <v/>
      </c>
      <c r="J57" s="104" t="n"/>
      <c r="K57" s="104" t="n"/>
      <c r="L57" s="104" t="n"/>
      <c r="M57" s="104" t="n"/>
      <c r="N57" s="104" t="n"/>
      <c r="O57" s="104" t="n"/>
      <c r="P57" s="104" t="n"/>
      <c r="Q57" s="104" t="n"/>
      <c r="R57" s="104" t="n"/>
    </row>
    <row r="58" ht="13.15" customHeight="1" s="91">
      <c r="A58" s="100" t="inlineStr">
        <is>
          <t>Tramnitz, Lukas</t>
        </is>
      </c>
      <c r="B58" s="101">
        <f>'24-25'!H56</f>
        <v/>
      </c>
      <c r="C58" s="101" t="n">
        <v>21</v>
      </c>
      <c r="D58" s="101" t="n">
        <v>1</v>
      </c>
      <c r="E58" s="101" t="n">
        <v>3</v>
      </c>
      <c r="F58" s="101" t="n"/>
      <c r="G58" s="101">
        <f>C58+D58+E58+F58</f>
        <v/>
      </c>
      <c r="H58" s="101">
        <f>G58+B58</f>
        <v/>
      </c>
      <c r="I58" s="102">
        <f>IFERROR(LOOKUP(2,1/((B58&lt;$J$3:$R$3)*(H58&gt;=$J$3:$R$3)),$J$3:$R$3),"")</f>
        <v/>
      </c>
      <c r="J58" s="101" t="n"/>
      <c r="K58" s="101" t="n"/>
      <c r="L58" s="101" t="n"/>
      <c r="M58" s="101" t="n"/>
      <c r="N58" s="101" t="n"/>
      <c r="O58" s="101" t="n"/>
      <c r="P58" s="101" t="n"/>
      <c r="Q58" s="101" t="n"/>
      <c r="R58" s="101" t="n"/>
    </row>
    <row r="59" ht="13.15" customHeight="1" s="91">
      <c r="A59" s="104" t="inlineStr">
        <is>
          <t>Verrino, Roberto</t>
        </is>
      </c>
      <c r="B59" s="104">
        <f>'24-25'!H57</f>
        <v/>
      </c>
      <c r="C59" s="104" t="n">
        <v>18</v>
      </c>
      <c r="D59" s="104" t="n">
        <v>1</v>
      </c>
      <c r="E59" s="104" t="n">
        <v>7</v>
      </c>
      <c r="F59" s="104" t="n"/>
      <c r="G59" s="104">
        <f>C59+D59+E59+F59</f>
        <v/>
      </c>
      <c r="H59" s="104">
        <f>G59+B59</f>
        <v/>
      </c>
      <c r="I59" s="107">
        <f>IFERROR(LOOKUP(2,1/((B59&lt;$J$3:$R$3)*(H59&gt;=$J$3:$R$3)),$J$3:$R$3),"")</f>
        <v/>
      </c>
      <c r="J59" s="104" t="n"/>
      <c r="K59" s="104" t="n"/>
      <c r="L59" s="104" t="n"/>
      <c r="M59" s="104" t="n"/>
      <c r="N59" s="104" t="n"/>
      <c r="O59" s="104" t="n"/>
      <c r="P59" s="104" t="n"/>
      <c r="Q59" s="104" t="n"/>
      <c r="R59" s="104" t="n"/>
    </row>
    <row r="60" ht="13.15" customHeight="1" s="91">
      <c r="A60" s="101" t="inlineStr">
        <is>
          <t>Weber, Peter</t>
        </is>
      </c>
      <c r="B60" s="101">
        <f>'24-25'!H58</f>
        <v/>
      </c>
      <c r="C60" s="101" t="n">
        <v>22</v>
      </c>
      <c r="D60" s="101" t="n">
        <v>2</v>
      </c>
      <c r="E60" s="101" t="n">
        <v>10</v>
      </c>
      <c r="F60" s="101" t="n"/>
      <c r="G60" s="101">
        <f>C60+D60+E60+F60</f>
        <v/>
      </c>
      <c r="H60" s="101">
        <f>G60+B60</f>
        <v/>
      </c>
      <c r="I60" s="106">
        <f>IFERROR(LOOKUP(2,1/((B60&lt;$J$3:$R$3)*(H60&gt;=$J$3:$R$3)),$J$3:$R$3),"")</f>
        <v/>
      </c>
      <c r="J60" s="101" t="n"/>
      <c r="K60" s="101" t="n"/>
      <c r="L60" s="101" t="n"/>
      <c r="M60" s="101" t="n"/>
      <c r="N60" s="101" t="n"/>
      <c r="O60" s="101" t="n"/>
      <c r="P60" s="101" t="n"/>
      <c r="Q60" s="101" t="n"/>
      <c r="R60" s="101" t="n"/>
    </row>
    <row r="61" ht="13.15" customHeight="1" s="91">
      <c r="A61" s="104" t="inlineStr">
        <is>
          <t>Wetzel, Maxim</t>
        </is>
      </c>
      <c r="B61" s="107">
        <f>0</f>
        <v/>
      </c>
      <c r="C61" s="104" t="n">
        <v>18</v>
      </c>
      <c r="D61" s="104" t="n">
        <v>0</v>
      </c>
      <c r="E61" s="104" t="n">
        <v>5</v>
      </c>
      <c r="F61" s="104" t="n"/>
      <c r="G61" s="104">
        <f>C61+D61+E61+F61</f>
        <v/>
      </c>
      <c r="H61" s="104">
        <f>G61+B61</f>
        <v/>
      </c>
      <c r="I61" s="107">
        <f>IFERROR(LOOKUP(2,1/((B61&lt;$J$3:$R$3)*(H61&gt;=$J$3:$R$3)),$J$3:$R$3),"")</f>
        <v/>
      </c>
      <c r="J61" s="104" t="n"/>
      <c r="K61" s="104" t="n"/>
      <c r="L61" s="104" t="n"/>
      <c r="M61" s="104" t="n"/>
      <c r="N61" s="104" t="n"/>
      <c r="O61" s="104" t="n"/>
      <c r="P61" s="104" t="n"/>
      <c r="Q61" s="104" t="n"/>
      <c r="R61" s="104" t="n"/>
    </row>
    <row r="62" ht="13.15" customHeight="1" s="91">
      <c r="A62" s="101" t="n"/>
      <c r="B62" s="101" t="n"/>
      <c r="C62" s="101" t="n"/>
      <c r="D62" s="101" t="n"/>
      <c r="E62" s="101" t="n"/>
      <c r="F62" s="101" t="n"/>
      <c r="G62" s="101" t="n"/>
      <c r="H62" s="101" t="n"/>
      <c r="I62" s="106" t="n"/>
      <c r="J62" s="101" t="n"/>
      <c r="K62" s="101" t="n"/>
      <c r="L62" s="101" t="n"/>
      <c r="M62" s="101" t="n"/>
      <c r="N62" s="101" t="n"/>
      <c r="O62" s="101" t="n"/>
      <c r="P62" s="101" t="n"/>
      <c r="Q62" s="101" t="n"/>
      <c r="R62" s="101" t="n"/>
    </row>
    <row r="63" ht="13.15" customHeight="1" s="91">
      <c r="A63" s="104" t="n"/>
      <c r="B63" s="108" t="n"/>
      <c r="C63" s="104" t="n"/>
      <c r="D63" s="104" t="n"/>
      <c r="E63" s="104" t="n"/>
      <c r="F63" s="109" t="n"/>
      <c r="G63" s="104" t="n"/>
      <c r="H63" s="104" t="n"/>
      <c r="I63" s="107" t="n"/>
      <c r="J63" s="104" t="n"/>
      <c r="K63" s="104" t="n"/>
      <c r="L63" s="104" t="n"/>
      <c r="M63" s="104" t="n"/>
      <c r="N63" s="104" t="n"/>
      <c r="O63" s="104" t="n"/>
      <c r="P63" s="104" t="n"/>
      <c r="Q63" s="104" t="n"/>
      <c r="R63" s="104" t="n"/>
    </row>
    <row r="64" ht="13.15" customHeight="1" s="91">
      <c r="A64" s="101" t="n"/>
      <c r="B64" s="101" t="n"/>
      <c r="C64" s="101" t="n"/>
      <c r="D64" s="101" t="n"/>
      <c r="E64" s="101" t="n"/>
      <c r="F64" s="101" t="n"/>
      <c r="G64" s="101" t="n"/>
      <c r="H64" s="101" t="n"/>
      <c r="I64" s="106" t="n"/>
      <c r="J64" s="101" t="n"/>
      <c r="K64" s="101" t="n"/>
      <c r="L64" s="101" t="n"/>
      <c r="M64" s="101" t="n"/>
      <c r="N64" s="101" t="n"/>
      <c r="O64" s="101" t="n"/>
      <c r="P64" s="101" t="n"/>
      <c r="Q64" s="101" t="n"/>
      <c r="R64" s="101" t="n"/>
    </row>
    <row r="65" ht="12.75" customHeight="1" s="91">
      <c r="A65" s="104" t="n"/>
      <c r="B65" s="110" t="n"/>
      <c r="C65" s="104" t="n"/>
      <c r="D65" s="104" t="n"/>
      <c r="E65" s="104" t="n"/>
      <c r="F65" s="104" t="n"/>
      <c r="G65" s="104" t="n"/>
      <c r="H65" s="104" t="n"/>
      <c r="I65" s="107" t="n"/>
      <c r="J65" s="104" t="n"/>
      <c r="K65" s="104" t="n"/>
      <c r="L65" s="104" t="n"/>
      <c r="M65" s="104" t="n"/>
      <c r="N65" s="104" t="n"/>
      <c r="O65" s="104" t="n"/>
      <c r="P65" s="104" t="n"/>
      <c r="Q65" s="104" t="n"/>
      <c r="R65" s="104" t="n"/>
    </row>
  </sheetData>
  <mergeCells count="5">
    <mergeCell ref="B3:D3"/>
    <mergeCell ref="B1:D1"/>
    <mergeCell ref="B4:D4"/>
    <mergeCell ref="H6:H7"/>
    <mergeCell ref="B6:B7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MMN</dc:creator>
  <dcterms:created xmlns:dcterms="http://purl.org/dc/terms/" xmlns:xsi="http://www.w3.org/2001/XMLSchema-instance" xsi:type="dcterms:W3CDTF">2002-08-24T16:02:59Z</dcterms:created>
  <dcterms:modified xmlns:dcterms="http://purl.org/dc/terms/" xmlns:xsi="http://www.w3.org/2001/XMLSchema-instance" xsi:type="dcterms:W3CDTF">2026-05-12T15:38:52Z</dcterms:modified>
  <cp:lastModifiedBy>Flaig, Tim</cp:lastModifiedBy>
</cp:coreProperties>
</file>