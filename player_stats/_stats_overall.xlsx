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PC\data\private\MaLo\"/>
    </mc:Choice>
  </mc:AlternateContent>
  <xr:revisionPtr revIDLastSave="0" documentId="13_ncr:1_{998527BC-C2E2-41C9-B979-2E83ECBCCD6E}" xr6:coauthVersionLast="47" xr6:coauthVersionMax="47" xr10:uidLastSave="{00000000-0000-0000-0000-000000000000}"/>
  <bookViews>
    <workbookView xWindow="-108" yWindow="-108" windowWidth="23256" windowHeight="12456" firstSheet="7" activeTab="9" xr2:uid="{00000000-000D-0000-FFFF-FFFF00000000}"/>
  </bookViews>
  <sheets>
    <sheet name="12-13" sheetId="1" r:id="rId1"/>
    <sheet name="13-14" sheetId="2" r:id="rId2"/>
    <sheet name="14-15" sheetId="3" r:id="rId3"/>
    <sheet name="15-16" sheetId="4" r:id="rId4"/>
    <sheet name="17-18" sheetId="5" r:id="rId5"/>
    <sheet name="21-22" sheetId="6" r:id="rId6"/>
    <sheet name="22-23" sheetId="7" r:id="rId7"/>
    <sheet name="23-24" sheetId="8" r:id="rId8"/>
    <sheet name="24-25" sheetId="9" r:id="rId9"/>
    <sheet name="25-26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9" l="1"/>
  <c r="G57" i="9"/>
  <c r="G56" i="9"/>
  <c r="H56" i="9" s="1"/>
  <c r="H55" i="9"/>
  <c r="G55" i="9"/>
  <c r="G54" i="9"/>
  <c r="H54" i="9" s="1"/>
  <c r="G53" i="9"/>
  <c r="H53" i="9" s="1"/>
  <c r="G52" i="9"/>
  <c r="H52" i="9" s="1"/>
  <c r="G51" i="9"/>
  <c r="H51" i="9" s="1"/>
  <c r="G50" i="9"/>
  <c r="H50" i="9" s="1"/>
  <c r="H49" i="9"/>
  <c r="G49" i="9"/>
  <c r="G48" i="9"/>
  <c r="H48" i="9" s="1"/>
  <c r="H47" i="9"/>
  <c r="G47" i="9"/>
  <c r="G46" i="9"/>
  <c r="H46" i="9" s="1"/>
  <c r="B48" i="10" s="1"/>
  <c r="G45" i="9"/>
  <c r="H45" i="9" s="1"/>
  <c r="G44" i="9"/>
  <c r="H44" i="9" s="1"/>
  <c r="G43" i="9"/>
  <c r="H43" i="9" s="1"/>
  <c r="G42" i="9"/>
  <c r="H42" i="9" s="1"/>
  <c r="H41" i="9"/>
  <c r="G41" i="9"/>
  <c r="G40" i="9"/>
  <c r="H40" i="9" s="1"/>
  <c r="H39" i="9"/>
  <c r="G39" i="9"/>
  <c r="G38" i="9"/>
  <c r="H38" i="9" s="1"/>
  <c r="G37" i="9"/>
  <c r="H37" i="9" s="1"/>
  <c r="H36" i="9"/>
  <c r="B37" i="10" s="1"/>
  <c r="G36" i="9"/>
  <c r="G35" i="9"/>
  <c r="H35" i="9" s="1"/>
  <c r="G34" i="9"/>
  <c r="H34" i="9" s="1"/>
  <c r="H33" i="9"/>
  <c r="G33" i="9"/>
  <c r="G32" i="9"/>
  <c r="H32" i="9" s="1"/>
  <c r="H31" i="9"/>
  <c r="G31" i="9"/>
  <c r="G30" i="9"/>
  <c r="H30" i="9" s="1"/>
  <c r="G29" i="9"/>
  <c r="H29" i="9" s="1"/>
  <c r="G28" i="9"/>
  <c r="H28" i="9" s="1"/>
  <c r="G27" i="9"/>
  <c r="H27" i="9" s="1"/>
  <c r="G26" i="9"/>
  <c r="H26" i="9" s="1"/>
  <c r="H25" i="9"/>
  <c r="G25" i="9"/>
  <c r="G24" i="9"/>
  <c r="H24" i="9" s="1"/>
  <c r="H23" i="9"/>
  <c r="G23" i="9"/>
  <c r="G22" i="9"/>
  <c r="H22" i="9" s="1"/>
  <c r="G21" i="9"/>
  <c r="H21" i="9" s="1"/>
  <c r="H20" i="9"/>
  <c r="B21" i="10" s="1"/>
  <c r="G20" i="9"/>
  <c r="G19" i="9"/>
  <c r="H19" i="9" s="1"/>
  <c r="G18" i="9"/>
  <c r="H18" i="9" s="1"/>
  <c r="H17" i="9"/>
  <c r="B18" i="10" s="1"/>
  <c r="G17" i="9"/>
  <c r="G16" i="9"/>
  <c r="H16" i="9" s="1"/>
  <c r="H15" i="9"/>
  <c r="G15" i="9"/>
  <c r="G14" i="9"/>
  <c r="H14" i="9" s="1"/>
  <c r="G13" i="9"/>
  <c r="H13" i="9" s="1"/>
  <c r="G12" i="9"/>
  <c r="H12" i="9" s="1"/>
  <c r="G11" i="9"/>
  <c r="H11" i="9" s="1"/>
  <c r="B11" i="10" s="1"/>
  <c r="H11" i="10" s="1"/>
  <c r="G10" i="9"/>
  <c r="H10" i="9" s="1"/>
  <c r="B10" i="10" s="1"/>
  <c r="H10" i="10" s="1"/>
  <c r="H9" i="9"/>
  <c r="G9" i="9"/>
  <c r="G8" i="9"/>
  <c r="H8" i="9" s="1"/>
  <c r="R4" i="9"/>
  <c r="Q4" i="9"/>
  <c r="P4" i="9"/>
  <c r="O4" i="9"/>
  <c r="N4" i="9"/>
  <c r="M4" i="9"/>
  <c r="L4" i="9"/>
  <c r="K4" i="9"/>
  <c r="J4" i="9"/>
  <c r="F64" i="8"/>
  <c r="E64" i="8"/>
  <c r="D64" i="8"/>
  <c r="F63" i="8"/>
  <c r="E63" i="8"/>
  <c r="D63" i="8"/>
  <c r="G57" i="8"/>
  <c r="C55" i="8"/>
  <c r="G55" i="8" s="1"/>
  <c r="C47" i="8"/>
  <c r="G47" i="8" s="1"/>
  <c r="C46" i="8"/>
  <c r="G46" i="8" s="1"/>
  <c r="C31" i="8"/>
  <c r="G31" i="8" s="1"/>
  <c r="C30" i="8"/>
  <c r="G30" i="8" s="1"/>
  <c r="G29" i="8"/>
  <c r="G27" i="8"/>
  <c r="F61" i="7"/>
  <c r="E61" i="7"/>
  <c r="D61" i="7"/>
  <c r="F60" i="7"/>
  <c r="E60" i="7"/>
  <c r="D60" i="7"/>
  <c r="G53" i="7"/>
  <c r="C49" i="7"/>
  <c r="G49" i="7" s="1"/>
  <c r="C51" i="8" s="1"/>
  <c r="G51" i="8" s="1"/>
  <c r="C48" i="7"/>
  <c r="G48" i="7" s="1"/>
  <c r="C50" i="8" s="1"/>
  <c r="G50" i="8" s="1"/>
  <c r="C47" i="7"/>
  <c r="G47" i="7" s="1"/>
  <c r="C49" i="8" s="1"/>
  <c r="G49" i="8" s="1"/>
  <c r="G46" i="7"/>
  <c r="C48" i="8" s="1"/>
  <c r="G48" i="8" s="1"/>
  <c r="C46" i="7"/>
  <c r="G45" i="7"/>
  <c r="G40" i="7"/>
  <c r="C42" i="8" s="1"/>
  <c r="G42" i="8" s="1"/>
  <c r="C39" i="7"/>
  <c r="G39" i="7" s="1"/>
  <c r="C41" i="8" s="1"/>
  <c r="G41" i="8" s="1"/>
  <c r="C38" i="7"/>
  <c r="G38" i="7" s="1"/>
  <c r="C40" i="8" s="1"/>
  <c r="G40" i="8" s="1"/>
  <c r="C37" i="7"/>
  <c r="G37" i="7" s="1"/>
  <c r="C39" i="8" s="1"/>
  <c r="G39" i="8" s="1"/>
  <c r="C32" i="7"/>
  <c r="G32" i="7" s="1"/>
  <c r="C34" i="8" s="1"/>
  <c r="G34" i="8" s="1"/>
  <c r="C31" i="7"/>
  <c r="G31" i="7" s="1"/>
  <c r="C33" i="8" s="1"/>
  <c r="G33" i="8" s="1"/>
  <c r="C30" i="7"/>
  <c r="G30" i="7" s="1"/>
  <c r="C32" i="8" s="1"/>
  <c r="G32" i="8" s="1"/>
  <c r="G29" i="7"/>
  <c r="C29" i="7"/>
  <c r="C25" i="7"/>
  <c r="G25" i="7" s="1"/>
  <c r="C26" i="8" s="1"/>
  <c r="G26" i="8" s="1"/>
  <c r="C24" i="7"/>
  <c r="G24" i="7" s="1"/>
  <c r="C25" i="8" s="1"/>
  <c r="G25" i="8" s="1"/>
  <c r="C23" i="7"/>
  <c r="G23" i="7" s="1"/>
  <c r="C23" i="8" s="1"/>
  <c r="G23" i="8" s="1"/>
  <c r="C22" i="7"/>
  <c r="G22" i="7" s="1"/>
  <c r="C22" i="8" s="1"/>
  <c r="G22" i="8" s="1"/>
  <c r="C17" i="7"/>
  <c r="G17" i="7" s="1"/>
  <c r="C17" i="8" s="1"/>
  <c r="G17" i="8" s="1"/>
  <c r="C16" i="7"/>
  <c r="G16" i="7" s="1"/>
  <c r="C16" i="8" s="1"/>
  <c r="G16" i="8" s="1"/>
  <c r="C15" i="7"/>
  <c r="G15" i="7" s="1"/>
  <c r="C15" i="8" s="1"/>
  <c r="G15" i="8" s="1"/>
  <c r="G14" i="7"/>
  <c r="C14" i="8" s="1"/>
  <c r="G14" i="8" s="1"/>
  <c r="C13" i="7"/>
  <c r="G13" i="7" s="1"/>
  <c r="C13" i="8" s="1"/>
  <c r="G13" i="8" s="1"/>
  <c r="C8" i="7"/>
  <c r="G8" i="7" s="1"/>
  <c r="C8" i="8" s="1"/>
  <c r="G8" i="8" s="1"/>
  <c r="C7" i="7"/>
  <c r="G7" i="7" s="1"/>
  <c r="C7" i="8" s="1"/>
  <c r="G7" i="8" s="1"/>
  <c r="F57" i="6"/>
  <c r="E57" i="6"/>
  <c r="D57" i="6"/>
  <c r="F56" i="6"/>
  <c r="E56" i="6"/>
  <c r="D56" i="6"/>
  <c r="G54" i="6"/>
  <c r="C57" i="7" s="1"/>
  <c r="G57" i="7" s="1"/>
  <c r="C60" i="8" s="1"/>
  <c r="G60" i="8" s="1"/>
  <c r="G53" i="6"/>
  <c r="C56" i="7" s="1"/>
  <c r="G56" i="7" s="1"/>
  <c r="C59" i="8" s="1"/>
  <c r="G59" i="8" s="1"/>
  <c r="G52" i="6"/>
  <c r="C55" i="7" s="1"/>
  <c r="G55" i="7" s="1"/>
  <c r="C58" i="8" s="1"/>
  <c r="G58" i="8" s="1"/>
  <c r="G51" i="6"/>
  <c r="C54" i="7" s="1"/>
  <c r="G54" i="7" s="1"/>
  <c r="C56" i="8" s="1"/>
  <c r="G56" i="8" s="1"/>
  <c r="G50" i="6"/>
  <c r="C52" i="7" s="1"/>
  <c r="G52" i="7" s="1"/>
  <c r="C54" i="8" s="1"/>
  <c r="G54" i="8" s="1"/>
  <c r="G49" i="6"/>
  <c r="C51" i="7" s="1"/>
  <c r="G51" i="7" s="1"/>
  <c r="C53" i="8" s="1"/>
  <c r="G53" i="8" s="1"/>
  <c r="G48" i="6"/>
  <c r="C50" i="7" s="1"/>
  <c r="G50" i="7" s="1"/>
  <c r="C52" i="8" s="1"/>
  <c r="G52" i="8" s="1"/>
  <c r="G47" i="6"/>
  <c r="G46" i="6"/>
  <c r="G45" i="6"/>
  <c r="G44" i="6"/>
  <c r="G43" i="6"/>
  <c r="C45" i="7" s="1"/>
  <c r="G42" i="6"/>
  <c r="C44" i="7" s="1"/>
  <c r="G44" i="7" s="1"/>
  <c r="G41" i="6"/>
  <c r="C43" i="7" s="1"/>
  <c r="G43" i="7" s="1"/>
  <c r="C45" i="8" s="1"/>
  <c r="G45" i="8" s="1"/>
  <c r="G40" i="6"/>
  <c r="C42" i="7" s="1"/>
  <c r="G42" i="7" s="1"/>
  <c r="C44" i="8" s="1"/>
  <c r="G44" i="8" s="1"/>
  <c r="G39" i="6"/>
  <c r="C41" i="7" s="1"/>
  <c r="G41" i="7" s="1"/>
  <c r="C43" i="8" s="1"/>
  <c r="G43" i="8" s="1"/>
  <c r="G38" i="6"/>
  <c r="G37" i="6"/>
  <c r="G36" i="6"/>
  <c r="G35" i="6"/>
  <c r="C36" i="7" s="1"/>
  <c r="G36" i="7" s="1"/>
  <c r="C38" i="8" s="1"/>
  <c r="G38" i="8" s="1"/>
  <c r="G34" i="6"/>
  <c r="C35" i="7" s="1"/>
  <c r="G35" i="7" s="1"/>
  <c r="C37" i="8" s="1"/>
  <c r="G37" i="8" s="1"/>
  <c r="G33" i="6"/>
  <c r="C34" i="7" s="1"/>
  <c r="G34" i="7" s="1"/>
  <c r="C36" i="8" s="1"/>
  <c r="G36" i="8" s="1"/>
  <c r="G32" i="6"/>
  <c r="C33" i="7" s="1"/>
  <c r="G33" i="7" s="1"/>
  <c r="C35" i="8" s="1"/>
  <c r="G35" i="8" s="1"/>
  <c r="G31" i="6"/>
  <c r="G30" i="6"/>
  <c r="G29" i="6"/>
  <c r="G28" i="6"/>
  <c r="G27" i="6"/>
  <c r="C28" i="7" s="1"/>
  <c r="G28" i="7" s="1"/>
  <c r="G26" i="6"/>
  <c r="C27" i="7" s="1"/>
  <c r="G27" i="7" s="1"/>
  <c r="C29" i="8" s="1"/>
  <c r="G25" i="6"/>
  <c r="C26" i="7" s="1"/>
  <c r="G26" i="7" s="1"/>
  <c r="C28" i="8" s="1"/>
  <c r="G28" i="8" s="1"/>
  <c r="G24" i="6"/>
  <c r="G23" i="6"/>
  <c r="G22" i="6"/>
  <c r="G21" i="6"/>
  <c r="G20" i="6"/>
  <c r="C21" i="7" s="1"/>
  <c r="G21" i="7" s="1"/>
  <c r="C21" i="8" s="1"/>
  <c r="G21" i="8" s="1"/>
  <c r="G19" i="6"/>
  <c r="C20" i="7" s="1"/>
  <c r="G20" i="7" s="1"/>
  <c r="C20" i="8" s="1"/>
  <c r="G20" i="8" s="1"/>
  <c r="G18" i="6"/>
  <c r="C19" i="7" s="1"/>
  <c r="G19" i="7" s="1"/>
  <c r="C19" i="8" s="1"/>
  <c r="G19" i="8" s="1"/>
  <c r="G17" i="6"/>
  <c r="C18" i="7" s="1"/>
  <c r="G18" i="7" s="1"/>
  <c r="C18" i="8" s="1"/>
  <c r="G18" i="8" s="1"/>
  <c r="G16" i="6"/>
  <c r="G15" i="6"/>
  <c r="G14" i="6"/>
  <c r="G13" i="6"/>
  <c r="G12" i="6"/>
  <c r="C12" i="7" s="1"/>
  <c r="G12" i="7" s="1"/>
  <c r="C12" i="8" s="1"/>
  <c r="G12" i="8" s="1"/>
  <c r="G11" i="6"/>
  <c r="C11" i="7" s="1"/>
  <c r="G11" i="7" s="1"/>
  <c r="C11" i="8" s="1"/>
  <c r="G11" i="8" s="1"/>
  <c r="G10" i="6"/>
  <c r="C10" i="7" s="1"/>
  <c r="G10" i="7" s="1"/>
  <c r="C10" i="8" s="1"/>
  <c r="G10" i="8" s="1"/>
  <c r="G9" i="6"/>
  <c r="C9" i="7" s="1"/>
  <c r="G9" i="7" s="1"/>
  <c r="C9" i="8" s="1"/>
  <c r="G9" i="8" s="1"/>
  <c r="G8" i="6"/>
  <c r="G7" i="6"/>
  <c r="G6" i="6"/>
  <c r="C6" i="7" s="1"/>
  <c r="G6" i="7" s="1"/>
  <c r="C6" i="8" s="1"/>
  <c r="G6" i="8" s="1"/>
  <c r="G5" i="6"/>
  <c r="C5" i="7" s="1"/>
  <c r="G5" i="7" s="1"/>
  <c r="C5" i="8" s="1"/>
  <c r="G5" i="8" s="1"/>
  <c r="G4" i="6"/>
  <c r="C4" i="7" s="1"/>
  <c r="G4" i="7" s="1"/>
  <c r="C4" i="8" s="1"/>
  <c r="G4" i="8" s="1"/>
  <c r="G3" i="6"/>
  <c r="C3" i="7" s="1"/>
  <c r="G3" i="7" s="1"/>
  <c r="C3" i="8" s="1"/>
  <c r="G3" i="8" s="1"/>
  <c r="G59" i="10"/>
  <c r="H59" i="10" s="1"/>
  <c r="B59" i="10"/>
  <c r="G58" i="10"/>
  <c r="G57" i="10"/>
  <c r="B57" i="10"/>
  <c r="H57" i="10" s="1"/>
  <c r="G56" i="10"/>
  <c r="G55" i="10"/>
  <c r="G54" i="10"/>
  <c r="G53" i="10"/>
  <c r="G52" i="10"/>
  <c r="G51" i="10"/>
  <c r="G50" i="10"/>
  <c r="B50" i="10"/>
  <c r="H50" i="10" s="1"/>
  <c r="H49" i="10"/>
  <c r="G49" i="10"/>
  <c r="B49" i="10"/>
  <c r="G48" i="10"/>
  <c r="H48" i="10" s="1"/>
  <c r="G47" i="10"/>
  <c r="G46" i="10"/>
  <c r="G45" i="10"/>
  <c r="B45" i="10"/>
  <c r="H45" i="10" s="1"/>
  <c r="G44" i="10"/>
  <c r="G43" i="10"/>
  <c r="G42" i="10"/>
  <c r="G41" i="10"/>
  <c r="B41" i="10"/>
  <c r="H41" i="10" s="1"/>
  <c r="G40" i="10"/>
  <c r="H40" i="10" s="1"/>
  <c r="G39" i="10"/>
  <c r="G38" i="10"/>
  <c r="G37" i="10"/>
  <c r="H37" i="10" s="1"/>
  <c r="G36" i="10"/>
  <c r="G35" i="10"/>
  <c r="G34" i="10"/>
  <c r="B34" i="10"/>
  <c r="H34" i="10" s="1"/>
  <c r="G33" i="10"/>
  <c r="G32" i="10"/>
  <c r="B32" i="10"/>
  <c r="H32" i="10" s="1"/>
  <c r="G31" i="10"/>
  <c r="G30" i="10"/>
  <c r="G29" i="10"/>
  <c r="G28" i="10"/>
  <c r="H28" i="10" s="1"/>
  <c r="B28" i="10"/>
  <c r="G27" i="10"/>
  <c r="B27" i="10"/>
  <c r="G26" i="10"/>
  <c r="G25" i="10"/>
  <c r="G24" i="10"/>
  <c r="B24" i="10"/>
  <c r="H24" i="10" s="1"/>
  <c r="G23" i="10"/>
  <c r="B23" i="10"/>
  <c r="H23" i="10" s="1"/>
  <c r="G22" i="10"/>
  <c r="G21" i="10"/>
  <c r="G20" i="10"/>
  <c r="G19" i="10"/>
  <c r="G18" i="10"/>
  <c r="G17" i="10"/>
  <c r="B17" i="10"/>
  <c r="H17" i="10" s="1"/>
  <c r="G16" i="10"/>
  <c r="B16" i="10"/>
  <c r="H16" i="10" s="1"/>
  <c r="G15" i="10"/>
  <c r="G14" i="10"/>
  <c r="H14" i="10" s="1"/>
  <c r="G13" i="10"/>
  <c r="G12" i="10"/>
  <c r="G11" i="10"/>
  <c r="G10" i="10"/>
  <c r="G9" i="10"/>
  <c r="G8" i="10"/>
  <c r="R4" i="10"/>
  <c r="Q4" i="10"/>
  <c r="P4" i="10"/>
  <c r="O4" i="10"/>
  <c r="N4" i="10"/>
  <c r="M4" i="10"/>
  <c r="L4" i="10"/>
  <c r="K4" i="10"/>
  <c r="J4" i="10"/>
  <c r="H18" i="10" l="1"/>
  <c r="H27" i="10"/>
  <c r="H21" i="10"/>
  <c r="B38" i="10"/>
  <c r="H38" i="10" s="1"/>
  <c r="B54" i="10"/>
  <c r="H54" i="10" s="1"/>
  <c r="B13" i="10"/>
  <c r="H13" i="10" s="1"/>
  <c r="B30" i="10"/>
  <c r="H30" i="10" s="1"/>
  <c r="B12" i="10"/>
  <c r="H12" i="10" s="1"/>
  <c r="B29" i="10"/>
  <c r="H29" i="10" s="1"/>
  <c r="B46" i="10"/>
  <c r="H46" i="10" s="1"/>
  <c r="B22" i="10"/>
  <c r="H22" i="10" s="1"/>
  <c r="B19" i="10"/>
  <c r="H19" i="10" s="1"/>
  <c r="B8" i="10"/>
  <c r="H8" i="10" s="1"/>
  <c r="B20" i="10"/>
  <c r="H20" i="10" s="1"/>
  <c r="B42" i="10"/>
  <c r="H42" i="10" s="1"/>
  <c r="B43" i="10"/>
  <c r="H43" i="10" s="1"/>
  <c r="B52" i="10"/>
  <c r="H52" i="10" s="1"/>
  <c r="B53" i="10"/>
  <c r="H53" i="10" s="1"/>
  <c r="B44" i="10"/>
  <c r="H44" i="10" s="1"/>
  <c r="B51" i="10"/>
  <c r="H51" i="10" s="1"/>
  <c r="B31" i="10"/>
  <c r="H31" i="10" s="1"/>
  <c r="B25" i="10"/>
  <c r="H25" i="10" s="1"/>
  <c r="B36" i="10"/>
  <c r="H36" i="10" s="1"/>
  <c r="B35" i="10"/>
  <c r="H35" i="10" s="1"/>
  <c r="B55" i="10"/>
  <c r="H55" i="10" s="1"/>
  <c r="B15" i="10"/>
  <c r="H15" i="10" s="1"/>
  <c r="B9" i="10"/>
  <c r="H9" i="10" s="1"/>
  <c r="B39" i="10"/>
  <c r="H39" i="10" s="1"/>
  <c r="B26" i="10"/>
  <c r="H26" i="10" s="1"/>
  <c r="B58" i="10"/>
  <c r="H58" i="10" s="1"/>
  <c r="B33" i="10"/>
  <c r="H33" i="10" s="1"/>
  <c r="B47" i="10"/>
  <c r="H47" i="10" s="1"/>
  <c r="B56" i="10"/>
  <c r="H56" i="10" s="1"/>
</calcChain>
</file>

<file path=xl/sharedStrings.xml><?xml version="1.0" encoding="utf-8"?>
<sst xmlns="http://schemas.openxmlformats.org/spreadsheetml/2006/main" count="2406" uniqueCount="536">
  <si>
    <t>Saison 2024/25</t>
  </si>
  <si>
    <t>Spielerliste</t>
  </si>
  <si>
    <t>Ehrung:</t>
  </si>
  <si>
    <t>Stand</t>
  </si>
  <si>
    <t>Anzahl:</t>
  </si>
  <si>
    <t>Anzahl
Spiele</t>
  </si>
  <si>
    <t>Punktspiel</t>
  </si>
  <si>
    <t>Pokalspiel</t>
  </si>
  <si>
    <t>Testspiel</t>
  </si>
  <si>
    <t>Turnier</t>
  </si>
  <si>
    <t>Gesamt</t>
  </si>
  <si>
    <t>Ehrung</t>
  </si>
  <si>
    <t>Auber, Daniel</t>
  </si>
  <si>
    <t>Auber, David</t>
  </si>
  <si>
    <t>Auber, Manuel</t>
  </si>
  <si>
    <t>Auber, Matthias**</t>
  </si>
  <si>
    <t>Bamboi, Daniel</t>
  </si>
  <si>
    <t>Bea, Marc</t>
  </si>
  <si>
    <t>Beck, Ronny</t>
  </si>
  <si>
    <t>?</t>
  </si>
  <si>
    <t>Benner, Florian</t>
  </si>
  <si>
    <t>Binnig, Andre</t>
  </si>
  <si>
    <t>Broghammer, Marcel</t>
  </si>
  <si>
    <t>Bühner, Ahmad</t>
  </si>
  <si>
    <t>Coraci, Davide*</t>
  </si>
  <si>
    <t>Dold, Markus</t>
  </si>
  <si>
    <t>Ebert, Matthias</t>
  </si>
  <si>
    <t>Flaig, Elias</t>
  </si>
  <si>
    <t>Flaig, Luis</t>
  </si>
  <si>
    <t>Flaig, Tim</t>
  </si>
  <si>
    <t>Fleig, Maximilian</t>
  </si>
  <si>
    <t>Günter, Ralf</t>
  </si>
  <si>
    <t>Haberstroh, Raphael</t>
  </si>
  <si>
    <t>Hoch, Philipp**</t>
  </si>
  <si>
    <t>Hornberger, Christian</t>
  </si>
  <si>
    <t>Kimmich, Simeon</t>
  </si>
  <si>
    <t>Klein, Daniel</t>
  </si>
  <si>
    <t>Klukas, Pascal</t>
  </si>
  <si>
    <t>Kobel, Michael</t>
  </si>
  <si>
    <t>Kuner, Andreas</t>
  </si>
  <si>
    <t>Kunz, Holger</t>
  </si>
  <si>
    <t>Leingruber, Fabian**</t>
  </si>
  <si>
    <t>Linder, Andreas</t>
  </si>
  <si>
    <t>Lobert, Marius</t>
  </si>
  <si>
    <t>Löffler, Marius</t>
  </si>
  <si>
    <t>Mager, Max</t>
  </si>
  <si>
    <t>Müller, Andre</t>
  </si>
  <si>
    <t>Müller, Felix</t>
  </si>
  <si>
    <t>Müller, Moritz</t>
  </si>
  <si>
    <t>Müller, Thorsten</t>
  </si>
  <si>
    <t>Palmer, Micha</t>
  </si>
  <si>
    <t>Pfundstein, Andreas</t>
  </si>
  <si>
    <t>Preuss, Jonas</t>
  </si>
  <si>
    <t>Reuter, Johannes</t>
  </si>
  <si>
    <t>Schaumann, Daniel</t>
  </si>
  <si>
    <t>Schaumann, David</t>
  </si>
  <si>
    <t>Schaumann, Sebastian</t>
  </si>
  <si>
    <t>Scheck, Lucas</t>
  </si>
  <si>
    <t>Schwenk, Kevin*</t>
  </si>
  <si>
    <t>Seidel, Jan</t>
  </si>
  <si>
    <t>Staiger, Tobias</t>
  </si>
  <si>
    <t>Tramnitz, Christoph</t>
  </si>
  <si>
    <t>Tramnitz, Lukas</t>
  </si>
  <si>
    <t>Verrino, Roberto</t>
  </si>
  <si>
    <t>Weber, Peter</t>
  </si>
  <si>
    <t>*keine Daten zu
den folgenden 
Saisons:</t>
  </si>
  <si>
    <t>18-19
19-20
20-21</t>
  </si>
  <si>
    <t>**gar keine Daten</t>
  </si>
  <si>
    <t>Saison 12/13</t>
  </si>
  <si>
    <t>Spieler</t>
  </si>
  <si>
    <t>Spiele bisher</t>
  </si>
  <si>
    <t>Freundschaftsspiele</t>
  </si>
  <si>
    <t>Pokalspiele</t>
  </si>
  <si>
    <t>Punktspiele</t>
  </si>
  <si>
    <t>Anzahl</t>
  </si>
  <si>
    <t>I</t>
  </si>
  <si>
    <t>II</t>
  </si>
  <si>
    <t> </t>
  </si>
  <si>
    <t>Obereschach</t>
  </si>
  <si>
    <t>Fischbach</t>
  </si>
  <si>
    <t>Kappel</t>
  </si>
  <si>
    <t>Lackendorf</t>
  </si>
  <si>
    <t>Wurmlingen</t>
  </si>
  <si>
    <t>Schonach</t>
  </si>
  <si>
    <t>Tore Vorbereitung 1. Mannschaft</t>
  </si>
  <si>
    <t>Seedorf I</t>
  </si>
  <si>
    <t>Tore Pokalspiele 1. Mannschaft</t>
  </si>
  <si>
    <t>19.08.2012 SG MaLo I : SV Herrenzimmern I</t>
  </si>
  <si>
    <t>22.08.2012 VfB Bösingen II : SG MaLo I</t>
  </si>
  <si>
    <t>26.08.2012 SG MaLo I : SV Beffendorf I</t>
  </si>
  <si>
    <t>02.09.2012 SV Rötenberg : SG MaLo I</t>
  </si>
  <si>
    <t>09.09.2012 SG MaLo I : SV Winzeln I</t>
  </si>
  <si>
    <t>09.09.2012 SV Winzeln II : SG MaLo II</t>
  </si>
  <si>
    <t>13.09.2012 FV Aichhalden : SG MaLo I</t>
  </si>
  <si>
    <t>16.09.23012 SG MaLo II : FC Dunningen II</t>
  </si>
  <si>
    <t>20.09.2012 Spvgg Stetten-Lackendorf II : SG MaLo II</t>
  </si>
  <si>
    <t>22.09.2012 SG MaLo I : SV Horgen I</t>
  </si>
  <si>
    <t>30.09.2012 FC Dunningen I : SG MaLo I</t>
  </si>
  <si>
    <t>30.09.2012 SG MaLo II : SV Horgen II</t>
  </si>
  <si>
    <t>07.10.2012 SG MaLo I : TSV Böhringen I</t>
  </si>
  <si>
    <t>07.10.2012 SV Sulgen II : SG MaLo II</t>
  </si>
  <si>
    <t>14.10.2012 FC Dietingen I : SG MaLo I</t>
  </si>
  <si>
    <t>21.10.2012 SG MaLo I : FSV Zepfenhan I</t>
  </si>
  <si>
    <t>21.10.2012 SG MaLo II : SV Waldmössingen II</t>
  </si>
  <si>
    <t>28.10.2012 Türk SV Schramberg I : SG MaLo I</t>
  </si>
  <si>
    <t>28.10.2012 SV Seedorf III : SG MaLo II</t>
  </si>
  <si>
    <t>04.11.2012 SG MaLo I : Spvgg Oberndorf I</t>
  </si>
  <si>
    <t>04.11.2012 SG MaLo II : FV Aichhalden II</t>
  </si>
  <si>
    <t>11.11.2012 FV Kickers Lauterbach I : SG MaLo I</t>
  </si>
  <si>
    <t>11.11.2012 FV Kickers Lauterbach II : SG MaLo II</t>
  </si>
  <si>
    <t>18.11.2012 SV Herrenzimmern I : SG MaLo I</t>
  </si>
  <si>
    <t>18.11.2012 SV Rötenberg II : SG MaLo II</t>
  </si>
  <si>
    <t>24.11.2012 SG MaLo I : VfB Bösingen II</t>
  </si>
  <si>
    <t>10.03.2013 SV Beffendorf I : SG MaLo I</t>
  </si>
  <si>
    <t>17.03.2013 SG MaLo I : SV Rötenberg I</t>
  </si>
  <si>
    <t>17.03.2013 SG MaLo II : SV Winzeln II</t>
  </si>
  <si>
    <t>24.03.2013 SV Winzeln I : SG MaLo I</t>
  </si>
  <si>
    <t>24.03.2013 FC Dunningen II : SG MaLo II</t>
  </si>
  <si>
    <t>30.03.2013 2013 SG MaLo I : FV Aichhalden I</t>
  </si>
  <si>
    <t>07.04.2013 SG MaLo II : Spvgg Stetten-Lackendorf II</t>
  </si>
  <si>
    <t>14.04.2013 SV Horgen I : SG MaLo I</t>
  </si>
  <si>
    <t>14.04.2013 SV Horgen II : SG MaLo II</t>
  </si>
  <si>
    <t>21.04.2013 SG MaLo I : FC Dunningen I</t>
  </si>
  <si>
    <t>21.04.2013 SG MaLo II : SV Sulgen II</t>
  </si>
  <si>
    <t>28.04.2013 TSV Böhringen I : SG MaLo I</t>
  </si>
  <si>
    <t>05.05.2013 SG MaLo I : FC Dietingen I</t>
  </si>
  <si>
    <t>05.05.2013 SV Waldmössingen II : SG MaLo II</t>
  </si>
  <si>
    <t>12.05.2013 FSV Zepfenhan I : SG MaLo I</t>
  </si>
  <si>
    <t>12.05.2013 SG MaLo II : SV Seedorf III</t>
  </si>
  <si>
    <t>26.05.2013 SG MaLo I : Türk SV Schramberg I</t>
  </si>
  <si>
    <t>26.05.2013 FV Aichhalden II : SG MaLo II</t>
  </si>
  <si>
    <t>02.06.2013 Spvgg Oberndorf I : SG MaLo I</t>
  </si>
  <si>
    <t>02.06.2013  SG MaLo II : FV Kickers Lauterbach II</t>
  </si>
  <si>
    <t>09.06.2013 SG MaLo I : FV Kickers Lauterbach I</t>
  </si>
  <si>
    <t>Relegation gegen Rottweil</t>
  </si>
  <si>
    <t>Tore 1. Mannschaft</t>
  </si>
  <si>
    <t>Tore 2. Mannschaft</t>
  </si>
  <si>
    <t>Punktspiele I</t>
  </si>
  <si>
    <t>Punktspiele II</t>
  </si>
  <si>
    <t>Punktspiele I+II</t>
  </si>
  <si>
    <t>Tore Punktspiele I</t>
  </si>
  <si>
    <t>Tore Punktspiele II</t>
  </si>
  <si>
    <t>Tore Punktspiele I+II</t>
  </si>
  <si>
    <t>Freundschaftssp.</t>
  </si>
  <si>
    <t>Tore Freundschaftssp.</t>
  </si>
  <si>
    <t>Spiele</t>
  </si>
  <si>
    <t>Tore</t>
  </si>
  <si>
    <t>Spiele gesamt</t>
  </si>
  <si>
    <t>Aichele Thomas</t>
  </si>
  <si>
    <t>L</t>
  </si>
  <si>
    <t>Auber A.</t>
  </si>
  <si>
    <t>M</t>
  </si>
  <si>
    <t>Augstein M</t>
  </si>
  <si>
    <t>Bannert Dirk</t>
  </si>
  <si>
    <t>Bekir Kilic</t>
  </si>
  <si>
    <t>Binnig Andre</t>
  </si>
  <si>
    <t>Bosch M.</t>
  </si>
  <si>
    <t>Broghammer Michael</t>
  </si>
  <si>
    <t>Czerny A</t>
  </si>
  <si>
    <t>Dold Markus</t>
  </si>
  <si>
    <t>Ebert D.</t>
  </si>
  <si>
    <t>Ebert M.</t>
  </si>
  <si>
    <t>Engesser M.</t>
  </si>
  <si>
    <t>Ganter F.</t>
  </si>
  <si>
    <t>Glase Rico</t>
  </si>
  <si>
    <t>Günter Ralf</t>
  </si>
  <si>
    <t>Haberstroh Benny</t>
  </si>
  <si>
    <t>Haberstroh Michael</t>
  </si>
  <si>
    <t>Haberstroh Raphael</t>
  </si>
  <si>
    <t>Heilmann M.</t>
  </si>
  <si>
    <t>Hornikel A.</t>
  </si>
  <si>
    <t>Jäckle M.</t>
  </si>
  <si>
    <t>Jaki S.</t>
  </si>
  <si>
    <t>Jauch Jo.</t>
  </si>
  <si>
    <t>Jauch Jürgen</t>
  </si>
  <si>
    <t>Klausmann M.</t>
  </si>
  <si>
    <t>Klein Daniel</t>
  </si>
  <si>
    <t>Linder Andreas</t>
  </si>
  <si>
    <t>Löffler Marius</t>
  </si>
  <si>
    <t>Marte Marvin</t>
  </si>
  <si>
    <t>Moosmann J.</t>
  </si>
  <si>
    <t>Moosmann M.</t>
  </si>
  <si>
    <t>Müller Thorsten</t>
  </si>
  <si>
    <t>Müller-Kohl, Ricardo</t>
  </si>
  <si>
    <t>Murer Matthias</t>
  </si>
  <si>
    <t>Oehler Alex</t>
  </si>
  <si>
    <t>Oehler Christoph</t>
  </si>
  <si>
    <t>Pfundstein Andreas</t>
  </si>
  <si>
    <t>Preuss Jonas</t>
  </si>
  <si>
    <t>Preuss Philip</t>
  </si>
  <si>
    <t>Reuter J.</t>
  </si>
  <si>
    <t>Roeder</t>
  </si>
  <si>
    <t>Ruoff Ulli</t>
  </si>
  <si>
    <t>Schaumann Seb</t>
  </si>
  <si>
    <t>Schwenk Kevin</t>
  </si>
  <si>
    <t>Staiger Elmar</t>
  </si>
  <si>
    <t>Staiger Tobias</t>
  </si>
  <si>
    <t>Stein Matthias</t>
  </si>
  <si>
    <t>Stern Alexander</t>
  </si>
  <si>
    <t>Storz Tobi</t>
  </si>
  <si>
    <t>Tramnitz Christoph</t>
  </si>
  <si>
    <t>Verino Roberto</t>
  </si>
  <si>
    <t>Zehnder Matze</t>
  </si>
  <si>
    <t>Anzahl Spieler</t>
  </si>
  <si>
    <t>Anzahl Tore</t>
  </si>
  <si>
    <t xml:space="preserve"> </t>
  </si>
  <si>
    <t>Saison 13/14</t>
  </si>
  <si>
    <t>28.07.2013 SpVgg Schiltach : SG MaLo I</t>
  </si>
  <si>
    <t>03.08.2013 SG MaLo I : SpVgg Oberndorf</t>
  </si>
  <si>
    <t>11.08.2013 SG MaLo - FC Schonach</t>
  </si>
  <si>
    <t>18.08.2013 SV Niedereschach - SG MaLo</t>
  </si>
  <si>
    <t>22.02.2014 Spvgg Stetten-Lackendorf - SG MaLo</t>
  </si>
  <si>
    <t>28.08.2013 Spvgg Oberndorf - SG MaLo</t>
  </si>
  <si>
    <t>03.10.2013 SV Herrenzimmern - SG MaLo</t>
  </si>
  <si>
    <t>21.04.2014 SG MaLo - SV Irslingen</t>
  </si>
  <si>
    <t>28.08.2013 SG MaLo - SV Gosheim</t>
  </si>
  <si>
    <t>01.10.2013 FC Dunningen - SG MaLo</t>
  </si>
  <si>
    <t>20.03.2014 SG MaLo - SV Wurmlingen</t>
  </si>
  <si>
    <t>18.08.2013 Spielfrei</t>
  </si>
  <si>
    <t>21.08.2013 SGMaLo I -  FSV Schwenningen</t>
  </si>
  <si>
    <t>25.08.2013 SV Winzeln SG MaLo</t>
  </si>
  <si>
    <t>01.09.2013 SG MaLa - SV Beffendorf</t>
  </si>
  <si>
    <t>08.09.2013 SV Sulgen - SG MaLo</t>
  </si>
  <si>
    <t>15.09.2013 SG MaLo - FV Aichhalden</t>
  </si>
  <si>
    <t>19.09.2013 FC Dunningen - SG MaLo</t>
  </si>
  <si>
    <t>22.09.2013 SG MaLo - FV08 Rottweil II</t>
  </si>
  <si>
    <t>28.09.2013 FV Diestingen - SG MaLo</t>
  </si>
  <si>
    <t>06.10.2013 SG MaLo - SV Herrenzimmern</t>
  </si>
  <si>
    <t>13.10.2013 FSV Zepfenhahn - SG MaLo</t>
  </si>
  <si>
    <t>01.11.2013 SG MaLo - FV Kickers Lauterbach</t>
  </si>
  <si>
    <t>03.04.2014 SV Horgen - SG MaLo</t>
  </si>
  <si>
    <t>03.11.2013 SG MaLo - SV Zimmern</t>
  </si>
  <si>
    <t>16.03.2014 SV Rötenberg - SG MaLo</t>
  </si>
  <si>
    <t>17.11.2013 Spielfrei</t>
  </si>
  <si>
    <t>23.11.2013FSV Schwenningen - SG MaLo</t>
  </si>
  <si>
    <t>23.03.2014 SG MaLo - SV Winzeln</t>
  </si>
  <si>
    <t>30.03.2014 SV Beffendorf - SG MaLo</t>
  </si>
  <si>
    <t>06.04.2014 SG MaLo - SV Sulgen</t>
  </si>
  <si>
    <t>13.04.2014 FV Aichhalden - SG MaLo</t>
  </si>
  <si>
    <t>19.04.2014 SG MaLo - FC Dunningen</t>
  </si>
  <si>
    <t>27.04.2014 FV08 Rottweil II - SG MaLo</t>
  </si>
  <si>
    <t>30.04.2014 SG MaLo - FC Dietingen</t>
  </si>
  <si>
    <t>04.05.2014 SV Herrenzimmern - SG MaLo</t>
  </si>
  <si>
    <t>11.05.2014 SG MaLo - FSV Zepfenhan</t>
  </si>
  <si>
    <t>18.05.2014 FV Kickers Lauterbach - SG MaLo</t>
  </si>
  <si>
    <t>25.05.2014 SG MaLo - SV Horgen</t>
  </si>
  <si>
    <t>01.06.2014 SV Zimmern - SG MaLo</t>
  </si>
  <si>
    <t>07.06.2014 SG MaLo - SV Rötenberg</t>
  </si>
  <si>
    <t xml:space="preserve">15.09.2013 SG MaLo - SV Winzeln </t>
  </si>
  <si>
    <t>22.09.2013 Spvgg. Stetten-Lackendorf - SG MaLo</t>
  </si>
  <si>
    <t>28.09.2013 SV Seedorf III - SG MaLo</t>
  </si>
  <si>
    <t>06.10.2013 SG MaLo - FV Aichhalden</t>
  </si>
  <si>
    <t>13.10.2013 FC Dunningen - SG MaLo</t>
  </si>
  <si>
    <t>17.04.2014 SG MaLo - AV Herrenzimmern</t>
  </si>
  <si>
    <t>17.11.2013 FV Kickers Lauterbach - SG MaLo</t>
  </si>
  <si>
    <t>19.04.2014 SG MaLo - SV Horgen</t>
  </si>
  <si>
    <t>30.03.2014 SV Rötenberg - SG MaLo</t>
  </si>
  <si>
    <t>06.04.2014 SV Winzeln - SG MaLo</t>
  </si>
  <si>
    <t>13.04.2014 SG MaLo - Spvgg Stetten Lackendorf</t>
  </si>
  <si>
    <t>26.04.2014 SG MaLo - SV Seedorf</t>
  </si>
  <si>
    <t>04.05.2014 FV Aichhalden - SG MaLo</t>
  </si>
  <si>
    <t>11.05.2014 SG MaLo - FC Dunningen</t>
  </si>
  <si>
    <t>18.05.2014 SV Herrenzimmern SG MaLo</t>
  </si>
  <si>
    <t>25.05.2014 SG MaLo - FV Kickers Lauterbach</t>
  </si>
  <si>
    <t>01.06.2014 SV Horgen - SG MaLo</t>
  </si>
  <si>
    <t>Auber Armin</t>
  </si>
  <si>
    <t>Auber Axel</t>
  </si>
  <si>
    <t>Coraci Davide</t>
  </si>
  <si>
    <t>Dereck Christian</t>
  </si>
  <si>
    <t>Ettwein Kevin</t>
  </si>
  <si>
    <t>Ettwein Dennis</t>
  </si>
  <si>
    <t>Müller Andre</t>
  </si>
  <si>
    <t>Preuss Jeremias</t>
  </si>
  <si>
    <t>Sekinger Fabian</t>
  </si>
  <si>
    <t>Saison 14/15</t>
  </si>
  <si>
    <t>Fr, 18.07.14 SGM Locherhof/Mariazell : FC Neuhausen</t>
  </si>
  <si>
    <t>Mi, 23.07.14 SGM Locherhof/Mariazell : SV Schapbach</t>
  </si>
  <si>
    <t>Sa, 09.08.14 SGM Locherhof/Mariazell : FV Tennenbronn 2</t>
  </si>
  <si>
    <t xml:space="preserve"> SGM Locherhof/Mariazell : FV Tennenbronn (abgesagt)</t>
  </si>
  <si>
    <t>Sa, 21.02.15 SV Schapbach : SGM Locherhof/Mariazell</t>
  </si>
  <si>
    <t>Mi, 04.03.15 FV Tennenbronn 2 : SGM Locherhof/Mariazell</t>
  </si>
  <si>
    <t>Di, 10.03.15 FC Kirnbach : SGM Locherhof/Mariazell</t>
  </si>
  <si>
    <t>So, 03.08.14 SGM Locherhof/Mariazell II : FC Epfendorf II</t>
  </si>
  <si>
    <t>So, 10.08.14 SGM Locherhof/Mariazell II : Spvgg Bochingen II</t>
  </si>
  <si>
    <t>Mi, 13.08.14 SGM Locherhof/Mariazell II : FV Kickers Lauterbach II</t>
  </si>
  <si>
    <t>So, 31.08.14 SGM Locherhof/Mariazell II : SV Horgen II</t>
  </si>
  <si>
    <t>So, 22.02.15 SGM Locherhof/Mariazell II : FC Epfendorf II (abg.)</t>
  </si>
  <si>
    <t>So, 08.03.15 FV Kickers Lauterbach II : SGM Locherhof/Mariazell II</t>
  </si>
  <si>
    <t>So, 15.03.15 SGM Locherhof/Mariazell II : Spvgg Bochingen II (abg.)</t>
  </si>
  <si>
    <t>Sa, 16.08.14 SGM Locherhof/Mariazell : SV Villingendorf</t>
  </si>
  <si>
    <t>Mi, 03.09.14 SGM Locherhof/Mariazell II : SV Fridingen</t>
  </si>
  <si>
    <t>Mi, 08.10.14 SGM Locherhof/Mariazell II : SGM Aichhalden/Rötenberg</t>
  </si>
  <si>
    <t>So, 24.08.14 SGM Locherhof/Mariazell : SV Horgen</t>
  </si>
  <si>
    <t>Mi, 27.08.14 SV Irslingen : SGM Locherhof/Mariazell</t>
  </si>
  <si>
    <t>So, 31.08.14 SGM Locherhof/Mariazell : SGM Aichhalden/Rötenberg</t>
  </si>
  <si>
    <t>Sa, 06.09.14 SV Beffendorf : SGM Locherhof/Mariazell</t>
  </si>
  <si>
    <t>So, 14.09.14 SGM Locherhof/Mariazell : SV Herrenzimmern</t>
  </si>
  <si>
    <t>Do, 18.09.14 FSV Zepfenhan : SGM Locherhof/Mariazell</t>
  </si>
  <si>
    <t>So, 21.09.14 SGM Locherhof/Mariazell : FC Hardt</t>
  </si>
  <si>
    <t>So, 28.09.14 SV Zimmern o.R. II : SGM Locherhof/Mariazell</t>
  </si>
  <si>
    <t>So, 05.10.14 FV Kickers Lauterbach : SGM Locherhof/Mariazell</t>
  </si>
  <si>
    <t>So, 12.10.14 SGM Locherhof/Mariazell : FC Dietingen</t>
  </si>
  <si>
    <t>So, 19.10.14 SC Lindenhof : SGM Locherhof/Mariazell</t>
  </si>
  <si>
    <t>So, 26.10.14 SGM Locherhof/Mariazell : FV 08 Rottweil II</t>
  </si>
  <si>
    <t>So, 02.11.14 TG Rottweil-Altstadt : SGM Locherhof/Mariazell</t>
  </si>
  <si>
    <t>So, 09.11.14 SGM Locherhof/Mariazell : SV Winzeln</t>
  </si>
  <si>
    <t>So, 16.11.14 Spvgg Stetten-Lackendorf : SGM Locherhof/Mariazell</t>
  </si>
  <si>
    <t>Fr, 21.11.14 SV Horgen : SGM Locherhof/Mariazell</t>
  </si>
  <si>
    <t>So, 30.11.14 SGM Locherhof/Mariazell : SV Irslingen</t>
  </si>
  <si>
    <t>So, 15.03.15 SGM Aichhalden/Rötenberg : SGM Locherhof/Mariazell</t>
  </si>
  <si>
    <t>So, 22.03.15 SGM Locherhof/Mariazell : SV Beffendorf</t>
  </si>
  <si>
    <t>So, 29.03.15 SV Herrenzimmern : SGM Locherhof/Mariazell</t>
  </si>
  <si>
    <t>Sa, 04.04.15  SGM Locherhof/Mariazell : FSV Zepfenhan</t>
  </si>
  <si>
    <t>So, 12.04.15  FC Hardt : SGM Locherhof/Mariazell</t>
  </si>
  <si>
    <t>So, 19.04.15 SGM Locherhof/Mariazell : SV Zimmern o.R. II</t>
  </si>
  <si>
    <t>So, 26.04.15 SGM Locherhof/Mariazell : FV Kickers Lauterbach</t>
  </si>
  <si>
    <t>So, 03.05.15  FC Dietingen : SGM Locherhof/Mariazell</t>
  </si>
  <si>
    <t>So, 10.05.15 SGM Locherhof/Mariazell : SC Lindenhof</t>
  </si>
  <si>
    <t>So, 17.05.15 FV 08 Rottweil II : SGM Locherhof/Mariazell</t>
  </si>
  <si>
    <t>Sa, 23.05.15 SGM Locherhof/Mariazell : TG Rottweil-Altstadt</t>
  </si>
  <si>
    <t>So, 31.05.15 SV Winzeln : SGM Locherhof/Mariazell</t>
  </si>
  <si>
    <t>So, 07.06.15 SGM Locherhof/Mariazell : Spvgg Stetten-Lackendorf</t>
  </si>
  <si>
    <t>So, 07.09.14 SGM Locherhof/Mariazell II : SV Herrenzimmern II</t>
  </si>
  <si>
    <t>So, 14.09.14 SV Winzeln II : SGM Locherhof/Mariazell II</t>
  </si>
  <si>
    <t>So, 21.09.14 SGM Locherhof/Mariazell II : FC Hardt II</t>
  </si>
  <si>
    <t>So, 28.09.14 Spvgg Stetten-Lackendorf II : SGM Locherhof/Mariazell II</t>
  </si>
  <si>
    <t>So, 05.10.14 SGM Locherhof/Mariazell II : SV Sulgen II</t>
  </si>
  <si>
    <t>So, 12.10.14 FC Dunningen II : SGM Locherhof/Mariazell II</t>
  </si>
  <si>
    <t>So, 19.10.14 SC Lindenhof II : SGM Locherhof/Mariazell II</t>
  </si>
  <si>
    <t>Sa, 25.10.14 SGM Beffendorf/Bösingen : SGM Locherhof/Mariazell II</t>
  </si>
  <si>
    <t>So, 02.11.14 SGM Locherhof/Mariazell II : Spvgg Oberndorf II</t>
  </si>
  <si>
    <t>So, 09.11.14 SGM Locherhof/Mariazell II : Türk SV Schramberg</t>
  </si>
  <si>
    <t>So, 16.11.14 SGM Aichhalden/Rötenberg III : SGM Locherhof/Mariazell II</t>
  </si>
  <si>
    <t>Sa, 22.11.14 SV Herrenzimmern II : SGM Locherhof/Mariazell II</t>
  </si>
  <si>
    <t>So, 22.03.15 SGM Locherhof/Mariazell II : SV Winzeln II</t>
  </si>
  <si>
    <t>So, 29.03.15 FC Hardt II : SGM Locherhof/Mariazell II</t>
  </si>
  <si>
    <t>So, 12.04.15 SGM Locherhof/Mariazell II : Spvgg Stetten-Lackendorf II</t>
  </si>
  <si>
    <t>So, 19.04.15 SV Sulgen II : SGM Locherhof/Mariazell II</t>
  </si>
  <si>
    <t>So, 26.04.15 SGM Locherhof/Mariazell II : FC Dunningen II</t>
  </si>
  <si>
    <t>So, 03.05.15 SGM Locherhof/Mariazell II : SC Lindenhof II</t>
  </si>
  <si>
    <t>Mi, 20.05.15 SGM Locherhof/Mariazell II : SGM Beffendorf/Bösingen</t>
  </si>
  <si>
    <t>So, 17.05.15 Spvgg Oberndorf II : SGM Locherhof/Mariazell II</t>
  </si>
  <si>
    <t>So, 31.05.15 Türk SV Schramberg : SGM Locherhof/Mariazell II</t>
  </si>
  <si>
    <t>So, 07.06.15 SGM Locherhof/Mariazell II : SGM Aichhalden/Rötenberg III</t>
  </si>
  <si>
    <t>Hauser Marcel</t>
  </si>
  <si>
    <t>Kimmich Simeon</t>
  </si>
  <si>
    <t>Kuner Matthias</t>
  </si>
  <si>
    <t>Moosmann Kay</t>
  </si>
  <si>
    <t>Müller Felix</t>
  </si>
  <si>
    <t>Preuss Marius</t>
  </si>
  <si>
    <t>Seidel Jan</t>
  </si>
  <si>
    <t>Tramnitz Lukas</t>
  </si>
  <si>
    <t>Trenkle Jan</t>
  </si>
  <si>
    <t>Saison 15/16</t>
  </si>
  <si>
    <t>Sa, 18.07.15 SG Buchenberg/​Neuhausen : SGM Mariazell/​Locherhof</t>
  </si>
  <si>
    <t>Sa, 01.08.15 FC Dunningen : SGM Mariazell/​Locherhof</t>
  </si>
  <si>
    <t>Sa, 15.08.15 SGM Mariazell/​Locherhof : SV Seedorf II</t>
  </si>
  <si>
    <t>Di, 18.08.15 SGM Mariazell/​Locherhof : Spvgg 08 Schramberg</t>
  </si>
  <si>
    <t>Mi, 17.02.16 SV Gosheim : SGM Mariazell/​Locherhof</t>
  </si>
  <si>
    <t>Mi, 24.02.16 FV Tennenbronn 2 : SGM Mariazell/​Locherhof</t>
  </si>
  <si>
    <t>Sa, 27.02.16 SGM Aichhalden/​Rötenberg II : SGM Mariazell/​Locherhof</t>
  </si>
  <si>
    <t>Sa, 05.03.16 Spvgg 08 Schramberg : SGM Mariazell/​Locherhof</t>
  </si>
  <si>
    <t>Di, 04.08.15 SGM Mariazell/​Locherhof II : Spvgg 08 Schramberg II</t>
  </si>
  <si>
    <t>So, 09.08.15 SGM Mariazell/​Locherhof : Spvgg Bochingen II</t>
  </si>
  <si>
    <t>So, 06.03.16 Spvgg Stetten-Lackendorf : SGM Mariazell/​Locherhof II</t>
  </si>
  <si>
    <t>Sa, 12.03.16 SGM Mariazell/​Locherhof II : FC Weiler</t>
  </si>
  <si>
    <t>Di, 01.09.15 SGM Mariazell/​Locherhof : SV Gosheim</t>
  </si>
  <si>
    <t>Mi, 02.09.15 SGM riazell/​Locherhof II : SC Wellendingen</t>
  </si>
  <si>
    <t>So, 23.08.15  FC Epfendorf : SGM Mariazell/​Locherhof</t>
  </si>
  <si>
    <t>Do, 27.08.15 Spielfrei</t>
  </si>
  <si>
    <t>So, 30.08.15  SGM Mariazell/​Locherhof : SV Herrenzimmern</t>
  </si>
  <si>
    <t>So, 06.09.15  FV 08 Rottweil II : SGM Mariazell/​Locherhof</t>
  </si>
  <si>
    <t>Sa, 12.09.15 SGM Mariazell/​Locherhof : SV Waldmössingen</t>
  </si>
  <si>
    <t>Do, 17.09.15 FC Hardt : SGM Mariazell/​Locherhof</t>
  </si>
  <si>
    <t>So, 20.09.15 SGM Mariazell/​Locherhof : SV Winzeln</t>
  </si>
  <si>
    <t>So, 27.09.15  SC Lindenhof : SGM Mariazell/​Locherhof</t>
  </si>
  <si>
    <t>Do, 01.10.15 SGM Mariazell/​Locherhof : SV Sulgen</t>
  </si>
  <si>
    <t>So, 04.10.15  FC Dietingen : SGM Mariazell/​Locherhof</t>
  </si>
  <si>
    <t>So, 11.10.15  SGM Mariazell/​Locherhof : SV Horgen</t>
  </si>
  <si>
    <t>So, 18.10.15 VfL Fluorn : SGM Mariazell/​Locherhof</t>
  </si>
  <si>
    <t>So, 25.10.15 SGM Mariazell/​Locherhof : FC Suebia Rottweil</t>
  </si>
  <si>
    <t>Sa, 31.10.15  SV Zimmern o.R. II : SGM Mariazell/​Locherhof</t>
  </si>
  <si>
    <t>So, 08.11.15  SGM Mariazell/​Locherhof : SGM SV Beffendorf/​VfB Bösingen III</t>
  </si>
  <si>
    <t>So, 15.11.15  SV Irslingen : SGM Mariazell/​Locherhof</t>
  </si>
  <si>
    <t>Sa, 21.11.15 SGM Mariazell/​Locherhof : FSV Zepfenhan</t>
  </si>
  <si>
    <t>Do, 17.03.16 SGM Mariazell/​Locherhof : FC Epfendorf</t>
  </si>
  <si>
    <t>So, 06.03.16 Spielfrei</t>
  </si>
  <si>
    <t>So, 13.03.16  SV Herrenzimmern : SGM Mariazell/​Locherhof</t>
  </si>
  <si>
    <t>So, 20.03.16 SGM Mariazell/​Locherhof : FV 08 Rottweil II</t>
  </si>
  <si>
    <t>Sa, 26.03.16 SV Waldmössingen : SGM Mariazell/​Locherhof</t>
  </si>
  <si>
    <t>Do, 31.03.16  SGM Mariazell/​Locherhof : FC Hardt</t>
  </si>
  <si>
    <t>So, 03.04.16 SV Winzeln : SGM Mariazell/​Locherhof</t>
  </si>
  <si>
    <t>So, 10.04.16  SGM Mariazell/​Locherhof : SC Lindenhof</t>
  </si>
  <si>
    <t>So, 17.04.16 SV Sulgen : SGM Mariazell/​Locherhof</t>
  </si>
  <si>
    <t>So, 24.04.16 SGM Mariazell/​Locherhof : FC Dietingen</t>
  </si>
  <si>
    <t>Do, 28.04.16  SV Horgen : SGM Mariazell/​Locherhof</t>
  </si>
  <si>
    <t>Sa, 30.04.16 SGM Mariazell/​Locherhof : VfL Fluorn</t>
  </si>
  <si>
    <t>So, 08.05.16  FC Suebia Rottweil : SGM Mariazell/​Locherhof</t>
  </si>
  <si>
    <t>Sa, 14.05.16 SGM Mariazell/​Locherhof : SV Zimmern o.R. II</t>
  </si>
  <si>
    <t>So, 22.05.16 SGM SV Beffendorf/​VfB Bösingen III : SGM Mariazell/​Locherhof</t>
  </si>
  <si>
    <t>So, 29.05.16 SGM Mariazell/​Locherhof : SV Irslingen</t>
  </si>
  <si>
    <t>So, 05.06.16  FSV Zepfenhan : SGM Mariazell/​Locherhof</t>
  </si>
  <si>
    <t>So, 30.08.15 Spvgg Oberndorf II : SGM Mariazell/​Locherhof II</t>
  </si>
  <si>
    <t>So, 13.09.15 SGM Mariazell/​Locherhof II : SV Winzeln II</t>
  </si>
  <si>
    <t>So, 20.09.15  FC Hardt II : SGM Mariazell/​Locherhof II</t>
  </si>
  <si>
    <t xml:space="preserve">So, 27.09.15 SGM Mariazell/​Locherhof II : Spvgg Stetten-Lackendorf II </t>
  </si>
  <si>
    <t>So, 04.10.15 SC Lindenhof II : SGM Mariazell/​Locherhof II</t>
  </si>
  <si>
    <t>So, 11.10.15 SGM Mariazell/​Locherhof II : SV Sulgen II</t>
  </si>
  <si>
    <t>So, 18.10.15 SV Herrenzimmern II : SGM Mariazell/​Locherhof II</t>
  </si>
  <si>
    <t>So, 25.10.15 SGM Mariazell/​Locherhof II : FC Dunningen II</t>
  </si>
  <si>
    <t>Sa, 21.11.15  FV Kickers Lauterbach II : SGM Mariazell/​Locherhof II</t>
  </si>
  <si>
    <t>So, 08.11.15 SGM Mariazell/​Locherhof II : SGM Aichhalden/​Rötenberg III</t>
  </si>
  <si>
    <t>So, 15.11.15  SGM Mariazell/​Locherhof II : Spvgg Oberndorf II</t>
  </si>
  <si>
    <t>So, 20.03.16 Spielfrei</t>
  </si>
  <si>
    <t>So, 03.04.16  SV Winzeln II : SGM Mariazell/​Locherhof II</t>
  </si>
  <si>
    <t>So, 10.04.16 SGM Mariazell/​Locherhof II : FC Hardt II</t>
  </si>
  <si>
    <t>So, 17.04.16 Spvgg Stetten-Lackendorf II : SGM Mariazell/​Locherhof II</t>
  </si>
  <si>
    <t>So, 24.04.16 SGM Mariazell/​Locherhof II : SC Lindenhof II</t>
  </si>
  <si>
    <t>Mi, 04.05.16 SV Sulgen II : SGM Mariazell/​Locherhof II</t>
  </si>
  <si>
    <t>So, 08.05.16  SGM Mariazell/​Locherhof II : SV Herrenzimmern II</t>
  </si>
  <si>
    <t>So, 22.05.16  FC Dunningen II : SGM Mariazell/​Locherhof II</t>
  </si>
  <si>
    <t>So, 29.05.16  SGM Mariazell/​Locherhof II : FV Kickers Lauterbach II</t>
  </si>
  <si>
    <t>So, 05.06.16 SGM Aichhalden/​Rötenberg III : SGM Mariazell/​Locherhof II</t>
  </si>
  <si>
    <t>Auber Manuel</t>
  </si>
  <si>
    <t>Ginter Colin</t>
  </si>
  <si>
    <t>Lobert Marius</t>
  </si>
  <si>
    <t>Schaumann David</t>
  </si>
  <si>
    <t>Thies Yannick</t>
  </si>
  <si>
    <t>Saison 17/18</t>
  </si>
  <si>
    <t>So, 16.07.17 SG Lo/​Ma I : SV Tuningen</t>
  </si>
  <si>
    <t>Mi, 19.07.2017 SG Lo/​Ma I : FV Kickers Lauterbach</t>
  </si>
  <si>
    <t>Sa, 29.07.2017 SG Lo/​Ma I : Spvgg 08 Schramberg</t>
  </si>
  <si>
    <t>So, 06.08.2017 SG Lo/​Ma I : SC Kaltbrunn</t>
  </si>
  <si>
    <t>Sa, 03.02.18 Spvgg Stetten-Lackendorf :  SG Lo/​Ma I</t>
  </si>
  <si>
    <t>Di, 06.02.18 SC Kaltbrunn:  SG Lo/​Ma I</t>
  </si>
  <si>
    <t>So, 18.02.18 Spvgg 08 Schramberg :  SG Lo/​Ma I</t>
  </si>
  <si>
    <t>Do, 22.02.18 FV Kickers Lauterbach : SG Lo/​Ma I</t>
  </si>
  <si>
    <t>Do, 01.03.18 FV Kickers Lauterbach :  SG Lo/​Ma I</t>
  </si>
  <si>
    <t>Sa, 12.08.17 SG Lo/​Ma II : FC Hardt II</t>
  </si>
  <si>
    <t>So, 27.08.17 SV Horgen II : SG Lo/​Ma II</t>
  </si>
  <si>
    <t>Mi, 30.08.2017 FC Frittlingen : SG Lo/​Ma</t>
  </si>
  <si>
    <t>Mi, 30.08.17 SG Lo/​Ma II : Türk SV Schramberg</t>
  </si>
  <si>
    <t>So, 20.08.17 Türk SV Schramberg : SG Lo/​Ma I</t>
  </si>
  <si>
    <t>Mi, 23.08.17 SG Lo/​Ma I : SV Winzeln</t>
  </si>
  <si>
    <t>Sa, 26.08.17 SGM Deißlingen/​Lauffen : SG Lo/​Ma I</t>
  </si>
  <si>
    <t>So. 03.09.17 SG Lo/​Ma I : SPIELFREI</t>
  </si>
  <si>
    <t>So. 10.09.17 SG Lo/​Ma I : SC Lindenhof</t>
  </si>
  <si>
    <t>Do. 14.09.17 FC Hardt : SG Lo/​Ma I</t>
  </si>
  <si>
    <t>So. 17.09.17 SG Lo/​Ma I : FC Suebia Rottweil</t>
  </si>
  <si>
    <t>24.09.17 SV Irslingen : SG Lo/​Ma I</t>
  </si>
  <si>
    <t>01.10.17 SG Lo/​Ma I : FC Epfendorf</t>
  </si>
  <si>
    <t>08.10.17 SV Harthausen : SG Lo/​Ma I</t>
  </si>
  <si>
    <t>So. 15.10.17 SG Lo/​Ma I : SV Horgen</t>
  </si>
  <si>
    <t>So. 22.10.17 SV Waldmössingen : SG Lo/​Ma I</t>
  </si>
  <si>
    <t>So. 29.10.17 SG MaLo I : Spvgg Oberndorf</t>
  </si>
  <si>
    <t>So, 05.11.17 SV Herrenzimmern : SG Lo/​Ma I</t>
  </si>
  <si>
    <t>So, 15.03.18 SG Lo/​Ma I : FSV Zepfenhan</t>
  </si>
  <si>
    <t>So, 28.03.18 SG Lo/​Ma I : Türk SV Schramberg</t>
  </si>
  <si>
    <t>Sa, 22.03.18 SV Winzeln : SG Lo/​Ma I</t>
  </si>
  <si>
    <t>So, 11.03.18 SG Lo/​Ma I : SGM Deißlingen/​Lauffen</t>
  </si>
  <si>
    <t>So, 18.03.18 SG Lo/​Ma I : SPIELFREI</t>
  </si>
  <si>
    <t>So, 25.03.18 SC Lindenhof : SG Lo/​Ma I</t>
  </si>
  <si>
    <t>Sa, 31.03.18 SG Lo/​Ma I : FC Hardt</t>
  </si>
  <si>
    <t>So, 08.04.18 FC Suebia Rottweil : SG Lo/​Ma I</t>
  </si>
  <si>
    <t>So, 15.04.18 SG Lo/​Ma I : SV Irslingen</t>
  </si>
  <si>
    <t>So, 22.04.18 FC Epfendorf  : SG Lo/​Ma I</t>
  </si>
  <si>
    <t>So, 29.04.18 SG Lo/​Ma I : SV Harthausen</t>
  </si>
  <si>
    <t>Fr, 04.05.18 SV Horgen : SG Lo/​Ma I</t>
  </si>
  <si>
    <t>So, 13.05.18 SG Lo/​Ma I : SV Waldmössingen</t>
  </si>
  <si>
    <t>So, 27.05.18 Spvgg Oberndorf : SG Lo/​Ma I</t>
  </si>
  <si>
    <t>So, 03.06.18 SG Lo/​Ma I : SV Herrenzimmern</t>
  </si>
  <si>
    <t>So, 10.06.18 FSV Zepfenhan : SG Lo/​Ma I</t>
  </si>
  <si>
    <t>Fr, 08.09.2017 SG Lo/​Ma II : FC Göllsdorf II</t>
  </si>
  <si>
    <t>So, 17.09.2017 SGM Aichhalden/​Rötenberg III : SG Lo/​Ma II</t>
  </si>
  <si>
    <t>So, 24.09.2017 SG Lo/​Ma II : SV Sulgen II</t>
  </si>
  <si>
    <t>So, 01.10.2017 SG Lo/​Ma II  : SC Lindenhof II</t>
  </si>
  <si>
    <t xml:space="preserve">Fr, 06.10.2017 FC Göllsdorf II : SG Lo/​Ma II </t>
  </si>
  <si>
    <t>So, 15.10.2017 SG Lo/​Ma II  : Spvgg 08 Schramberg II</t>
  </si>
  <si>
    <t xml:space="preserve">So, 22.10.2017 FC Dunningen II : SG Lo/​Ma II </t>
  </si>
  <si>
    <t>So, 29.10.2017 SG Lo/​Ma II  : Spvgg Stetten-Lackendorf I</t>
  </si>
  <si>
    <t>So, 05.11.2017 SV Waldmössingen II : SG Lo/​Ma II</t>
  </si>
  <si>
    <t>Fr, 13.04.2018 SG Lo/​Ma II : FV Kickers Lauterbach II</t>
  </si>
  <si>
    <t xml:space="preserve">Do, 29.03.2018 SV Herrenzimmern II : SG Lo/​Ma II </t>
  </si>
  <si>
    <t>Fr, 20.04.2018 SG Lo/​Ma II : SV Winzeln II</t>
  </si>
  <si>
    <t>So, 25.03.2018 SC Lindenhof II : SG Lo/​Ma II</t>
  </si>
  <si>
    <t xml:space="preserve">So, 08.04.2018 Spvgg 08 Schramberg II : SG Lo/​Ma II </t>
  </si>
  <si>
    <t>So, 15.04.2018 SG Lo/​Ma II : FC Dunningen II</t>
  </si>
  <si>
    <t xml:space="preserve">So, 22.04.2018 Spvgg Stetten-Lackendorf II : SG Lo/​Ma II </t>
  </si>
  <si>
    <t>So, 29.04.2018 SG Lo/​Ma II  : SV Waldmössingen II</t>
  </si>
  <si>
    <t>Do, 10.05.2018 FV Kickers Lauterbach II : SG Lo/​Ma II</t>
  </si>
  <si>
    <t>So, 13.05.2018 SG Lo/​Ma II : SV Herrenzimmern II</t>
  </si>
  <si>
    <t>So, 27.05.2018 SV Sulgen II : SG Lo/​Ma II</t>
  </si>
  <si>
    <t>So, 03.06.2018 SG Lo/​Ma II : SGM Aichhalden/​Rötenberg III</t>
  </si>
  <si>
    <t xml:space="preserve">So, 10.06.2018 SV Winzeln II : SG Lo/​Ma II </t>
  </si>
  <si>
    <t>Barwari Sarbast</t>
  </si>
  <si>
    <t>Broghammer Felix</t>
  </si>
  <si>
    <t>Flaig Elias</t>
  </si>
  <si>
    <t>Flaig Maximilian</t>
  </si>
  <si>
    <t>Kuner Andreas</t>
  </si>
  <si>
    <t>Letzel Marvin</t>
  </si>
  <si>
    <t>Neumaier Tizian</t>
  </si>
  <si>
    <t>Palmer Lukas</t>
  </si>
  <si>
    <t>Schmid Marc</t>
  </si>
  <si>
    <t>Wernz, Tobias</t>
  </si>
  <si>
    <t>fehlt</t>
  </si>
  <si>
    <t>Saison 21/22</t>
  </si>
  <si>
    <t>Aubel, Daniel</t>
  </si>
  <si>
    <t>Broghammer Marcel</t>
  </si>
  <si>
    <t>Flaig Tim</t>
  </si>
  <si>
    <t>Fleig Maximilian</t>
  </si>
  <si>
    <t>Hornberger Christian</t>
  </si>
  <si>
    <t>Jawadi, Ahmad</t>
  </si>
  <si>
    <t>Jauch Joachim</t>
  </si>
  <si>
    <t>Katzer Florian</t>
  </si>
  <si>
    <t>Kobel Michael</t>
  </si>
  <si>
    <t>Klukas Paskal</t>
  </si>
  <si>
    <t>Müller Moritz</t>
  </si>
  <si>
    <t>Schaumann Daniel</t>
  </si>
  <si>
    <t>Scheck Lucas</t>
  </si>
  <si>
    <t>Saison 22/23</t>
  </si>
  <si>
    <t>Flaig Luis</t>
  </si>
  <si>
    <t>Klukas Pascal</t>
  </si>
  <si>
    <t>Palmer Micha</t>
  </si>
  <si>
    <t>Strack Julian</t>
  </si>
  <si>
    <t>Stand: 03.06.2024</t>
  </si>
  <si>
    <t>Saison 23/24</t>
  </si>
  <si>
    <t>Keller Fabian</t>
  </si>
  <si>
    <t>Kunz Holger</t>
  </si>
  <si>
    <t>Timbota Daniel</t>
  </si>
  <si>
    <t>Stand 31.05.2025</t>
  </si>
  <si>
    <t>Saison 2025/26</t>
  </si>
  <si>
    <t>Schwenk, Kevin</t>
  </si>
  <si>
    <t>Leingruber, Fabian</t>
  </si>
  <si>
    <t>Hoch, Philipp</t>
  </si>
  <si>
    <t>Auber, Matthias</t>
  </si>
  <si>
    <t>Bühner, Ahmad Reza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</si>
</sst>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b/>
      <sz val="10"/>
      <name val="Arial"/>
      <family val="2"/>
    </font>
    <font>
      <b/>
      <sz val="2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8"/>
      <color theme="3" tint="0.249977111117893"/>
      <name val="Century Gothic"/>
      <family val="2"/>
    </font>
    <font>
      <sz val="11"/>
      <color theme="1"/>
      <name val="Century Gothic"/>
      <family val="2"/>
    </font>
    <font>
      <b/>
      <sz val="14"/>
      <color theme="1"/>
      <name val="Century Gothic"/>
      <family val="2"/>
    </font>
    <font>
      <b/>
      <sz val="18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color rgb="FFC00000"/>
      <name val="Arial"/>
      <family val="2"/>
    </font>
    <font>
      <b/>
      <sz val="10"/>
      <name val="Arial"/>
    </font>
    <font>
      <sz val="10"/>
      <color rgb="FFFF0000"/>
      <name val="Arial"/>
      <family val="2"/>
    </font>
    <font>
      <sz val="10"/>
      <color rgb="FFBFBFBF"/>
      <name val="Arial"/>
      <family val="2"/>
    </font>
    <font>
      <sz val="10"/>
      <color rgb="FF2B2B2B"/>
      <name val="Arial"/>
      <family val="2"/>
    </font>
    <font>
      <sz val="8"/>
      <color rgb="FFBFBFBF"/>
      <name val="Arial"/>
      <family val="2"/>
    </font>
    <font>
      <sz val="8"/>
      <color rgb="FF2B2B2B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center" textRotation="90" wrapText="1"/>
    </xf>
    <xf numFmtId="0" fontId="4" fillId="0" borderId="0" xfId="0" applyFont="1" applyAlignment="1">
      <alignment horizontal="center" textRotation="90" wrapText="1"/>
    </xf>
    <xf numFmtId="0" fontId="0" fillId="2" borderId="0" xfId="0" applyFill="1"/>
    <xf numFmtId="0" fontId="1" fillId="2" borderId="0" xfId="0" applyFont="1" applyFill="1"/>
    <xf numFmtId="0" fontId="1" fillId="0" borderId="1" xfId="0" applyFont="1" applyBorder="1" applyAlignment="1">
      <alignment textRotation="90"/>
    </xf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4" fillId="2" borderId="0" xfId="0" applyFont="1" applyFill="1" applyAlignment="1">
      <alignment horizontal="center" textRotation="90" wrapText="1"/>
    </xf>
    <xf numFmtId="0" fontId="4" fillId="0" borderId="0" xfId="0" applyFont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3" borderId="0" xfId="0" applyFill="1"/>
    <xf numFmtId="0" fontId="4" fillId="3" borderId="0" xfId="0" applyFont="1" applyFill="1" applyAlignment="1">
      <alignment horizontal="center" wrapText="1"/>
    </xf>
    <xf numFmtId="0" fontId="1" fillId="3" borderId="0" xfId="0" applyFont="1" applyFill="1"/>
    <xf numFmtId="0" fontId="0" fillId="4" borderId="0" xfId="0" applyFill="1"/>
    <xf numFmtId="0" fontId="4" fillId="4" borderId="0" xfId="0" applyFont="1" applyFill="1" applyAlignment="1">
      <alignment horizontal="center" wrapText="1"/>
    </xf>
    <xf numFmtId="0" fontId="1" fillId="4" borderId="0" xfId="0" applyFont="1" applyFill="1"/>
    <xf numFmtId="0" fontId="3" fillId="2" borderId="0" xfId="0" applyFont="1" applyFill="1"/>
    <xf numFmtId="0" fontId="3" fillId="5" borderId="0" xfId="0" applyFont="1" applyFill="1"/>
    <xf numFmtId="0" fontId="0" fillId="5" borderId="0" xfId="0" applyFill="1"/>
    <xf numFmtId="0" fontId="4" fillId="5" borderId="0" xfId="0" applyFont="1" applyFill="1" applyAlignment="1">
      <alignment horizontal="center" wrapText="1"/>
    </xf>
    <xf numFmtId="0" fontId="1" fillId="5" borderId="0" xfId="0" applyFont="1" applyFill="1"/>
    <xf numFmtId="0" fontId="0" fillId="6" borderId="0" xfId="0" applyFill="1"/>
    <xf numFmtId="0" fontId="4" fillId="6" borderId="0" xfId="0" applyFont="1" applyFill="1" applyAlignment="1">
      <alignment horizontal="center" wrapText="1"/>
    </xf>
    <xf numFmtId="0" fontId="1" fillId="6" borderId="0" xfId="0" applyFont="1" applyFill="1"/>
    <xf numFmtId="0" fontId="6" fillId="7" borderId="0" xfId="0" applyFont="1" applyFill="1" applyProtection="1">
      <protection hidden="1"/>
    </xf>
    <xf numFmtId="0" fontId="8" fillId="7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 vertical="center"/>
      <protection hidden="1"/>
    </xf>
    <xf numFmtId="0" fontId="0" fillId="0" borderId="0" xfId="0" applyAlignment="1">
      <alignment horizontal="right"/>
    </xf>
    <xf numFmtId="0" fontId="10" fillId="0" borderId="0" xfId="0" applyFont="1" applyAlignment="1">
      <alignment horizontal="right"/>
    </xf>
    <xf numFmtId="0" fontId="5" fillId="7" borderId="0" xfId="0" applyFont="1" applyFill="1" applyAlignment="1" applyProtection="1">
      <alignment horizontal="left" vertical="center"/>
      <protection hidden="1"/>
    </xf>
    <xf numFmtId="0" fontId="7" fillId="7" borderId="0" xfId="0" applyFont="1" applyFill="1" applyAlignment="1" applyProtection="1">
      <alignment vertical="center"/>
      <protection hidden="1"/>
    </xf>
    <xf numFmtId="0" fontId="5" fillId="7" borderId="0" xfId="0" applyFont="1" applyFill="1" applyAlignment="1" applyProtection="1">
      <alignment vertical="center"/>
      <protection hidden="1"/>
    </xf>
    <xf numFmtId="0" fontId="9" fillId="7" borderId="0" xfId="0" applyFont="1" applyFill="1" applyProtection="1">
      <protection hidden="1"/>
    </xf>
    <xf numFmtId="0" fontId="0" fillId="7" borderId="0" xfId="0" applyFill="1"/>
    <xf numFmtId="0" fontId="11" fillId="7" borderId="0" xfId="0" applyFont="1" applyFill="1"/>
    <xf numFmtId="0" fontId="7" fillId="7" borderId="0" xfId="0" applyFont="1" applyFill="1" applyAlignment="1" applyProtection="1">
      <alignment horizontal="center" vertical="center"/>
      <protection hidden="1"/>
    </xf>
    <xf numFmtId="0" fontId="0" fillId="0" borderId="8" xfId="0" applyBorder="1"/>
    <xf numFmtId="0" fontId="0" fillId="0" borderId="0" xfId="0" applyAlignment="1">
      <alignment textRotation="90"/>
    </xf>
    <xf numFmtId="0" fontId="0" fillId="0" borderId="1" xfId="0" applyBorder="1" applyAlignment="1">
      <alignment textRotation="90"/>
    </xf>
    <xf numFmtId="0" fontId="3" fillId="0" borderId="8" xfId="0" applyFont="1" applyBorder="1" applyAlignment="1">
      <alignment textRotation="90"/>
    </xf>
    <xf numFmtId="0" fontId="3" fillId="0" borderId="0" xfId="0" applyFont="1" applyAlignment="1">
      <alignment textRotation="90"/>
    </xf>
    <xf numFmtId="0" fontId="0" fillId="0" borderId="9" xfId="0" applyBorder="1" applyAlignment="1">
      <alignment textRotation="90"/>
    </xf>
    <xf numFmtId="0" fontId="0" fillId="0" borderId="10" xfId="0" applyBorder="1"/>
    <xf numFmtId="0" fontId="0" fillId="0" borderId="9" xfId="0" applyBorder="1"/>
    <xf numFmtId="0" fontId="12" fillId="0" borderId="1" xfId="0" applyFont="1" applyBorder="1" applyAlignment="1">
      <alignment textRotation="90"/>
    </xf>
    <xf numFmtId="0" fontId="12" fillId="0" borderId="0" xfId="0" applyFont="1" applyAlignment="1">
      <alignment textRotation="90"/>
    </xf>
    <xf numFmtId="0" fontId="3" fillId="0" borderId="8" xfId="0" applyFont="1" applyBorder="1"/>
    <xf numFmtId="0" fontId="3" fillId="0" borderId="1" xfId="0" applyFont="1" applyBorder="1" applyAlignment="1">
      <alignment textRotation="90"/>
    </xf>
    <xf numFmtId="0" fontId="13" fillId="0" borderId="1" xfId="0" applyFont="1" applyBorder="1" applyAlignment="1">
      <alignment textRotation="90"/>
    </xf>
    <xf numFmtId="0" fontId="0" fillId="0" borderId="2" xfId="0" applyBorder="1" applyAlignment="1">
      <alignment textRotation="90"/>
    </xf>
    <xf numFmtId="0" fontId="14" fillId="0" borderId="0" xfId="0" applyFont="1" applyAlignment="1">
      <alignment textRotation="90" wrapText="1"/>
    </xf>
    <xf numFmtId="0" fontId="0" fillId="8" borderId="0" xfId="0" applyFill="1"/>
    <xf numFmtId="0" fontId="13" fillId="0" borderId="0" xfId="0" applyFont="1" applyAlignment="1">
      <alignment textRotation="90"/>
    </xf>
    <xf numFmtId="0" fontId="14" fillId="0" borderId="0" xfId="0" applyFont="1" applyAlignment="1">
      <alignment textRotation="90"/>
    </xf>
    <xf numFmtId="0" fontId="3" fillId="9" borderId="0" xfId="0" applyFont="1" applyFill="1" applyAlignment="1">
      <alignment textRotation="90"/>
    </xf>
    <xf numFmtId="0" fontId="0" fillId="9" borderId="0" xfId="0" applyFill="1"/>
    <xf numFmtId="0" fontId="4" fillId="0" borderId="1" xfId="0" applyFont="1" applyBorder="1" applyAlignment="1">
      <alignment textRotation="90" wrapText="1"/>
    </xf>
    <xf numFmtId="0" fontId="15" fillId="0" borderId="1" xfId="0" applyFont="1" applyBorder="1" applyAlignment="1">
      <alignment textRotation="90" wrapText="1"/>
    </xf>
    <xf numFmtId="0" fontId="4" fillId="0" borderId="0" xfId="0" applyFont="1" applyAlignment="1">
      <alignment textRotation="90"/>
    </xf>
    <xf numFmtId="0" fontId="4" fillId="0" borderId="1" xfId="0" applyFont="1" applyBorder="1" applyAlignment="1">
      <alignment textRotation="90"/>
    </xf>
    <xf numFmtId="0" fontId="16" fillId="0" borderId="0" xfId="0" applyFont="1" applyAlignment="1">
      <alignment textRotation="90"/>
    </xf>
    <xf numFmtId="0" fontId="4" fillId="0" borderId="2" xfId="0" applyFont="1" applyBorder="1" applyAlignment="1">
      <alignment textRotation="90"/>
    </xf>
    <xf numFmtId="0" fontId="4" fillId="0" borderId="0" xfId="0" applyFont="1" applyAlignment="1">
      <alignment textRotation="90" wrapText="1"/>
    </xf>
    <xf numFmtId="0" fontId="16" fillId="0" borderId="0" xfId="0" applyFont="1" applyAlignment="1">
      <alignment textRotation="90" wrapText="1"/>
    </xf>
    <xf numFmtId="0" fontId="4" fillId="9" borderId="0" xfId="0" applyFont="1" applyFill="1" applyAlignment="1">
      <alignment textRotation="90"/>
    </xf>
    <xf numFmtId="0" fontId="0" fillId="9" borderId="3" xfId="0" applyFill="1" applyBorder="1"/>
    <xf numFmtId="0" fontId="0" fillId="9" borderId="1" xfId="0" applyFill="1" applyBorder="1"/>
    <xf numFmtId="0" fontId="0" fillId="0" borderId="0" xfId="0" applyAlignment="1">
      <alignment wrapText="1"/>
    </xf>
    <xf numFmtId="0" fontId="11" fillId="0" borderId="0" xfId="0" applyFont="1" applyAlignment="1">
      <alignment wrapText="1"/>
    </xf>
    <xf numFmtId="0" fontId="11" fillId="0" borderId="0" xfId="0" applyFont="1"/>
    <xf numFmtId="0" fontId="5" fillId="10" borderId="0" xfId="0" applyFont="1" applyFill="1" applyAlignment="1" applyProtection="1">
      <alignment vertical="center"/>
      <protection hidden="1"/>
    </xf>
    <xf numFmtId="0" fontId="6" fillId="10" borderId="0" xfId="0" applyFont="1" applyFill="1" applyProtection="1">
      <protection hidden="1"/>
    </xf>
    <xf numFmtId="0" fontId="0" fillId="10" borderId="0" xfId="0" applyFill="1"/>
    <xf numFmtId="0" fontId="5" fillId="10" borderId="0" xfId="0" applyFont="1" applyFill="1" applyAlignment="1" applyProtection="1">
      <alignment horizontal="left" vertical="center"/>
      <protection hidden="1"/>
    </xf>
    <xf numFmtId="0" fontId="7" fillId="10" borderId="0" xfId="0" applyFont="1" applyFill="1" applyAlignment="1" applyProtection="1">
      <alignment vertical="center"/>
      <protection hidden="1"/>
    </xf>
    <xf numFmtId="0" fontId="7" fillId="10" borderId="0" xfId="0" applyFont="1" applyFill="1" applyAlignment="1" applyProtection="1">
      <alignment horizontal="center" vertical="center"/>
      <protection hidden="1"/>
    </xf>
    <xf numFmtId="0" fontId="9" fillId="10" borderId="0" xfId="0" applyFont="1" applyFill="1" applyProtection="1">
      <protection hidden="1"/>
    </xf>
    <xf numFmtId="0" fontId="11" fillId="10" borderId="0" xfId="0" applyFont="1" applyFill="1"/>
    <xf numFmtId="0" fontId="8" fillId="10" borderId="0" xfId="0" applyFont="1" applyFill="1" applyAlignment="1" applyProtection="1">
      <alignment horizontal="center" vertical="center"/>
      <protection hidden="1"/>
    </xf>
    <xf numFmtId="0" fontId="9" fillId="10" borderId="0" xfId="0" applyFont="1" applyFill="1" applyAlignment="1" applyProtection="1">
      <alignment horizontal="center" vertical="center"/>
      <protection hidden="1"/>
    </xf>
    <xf numFmtId="14" fontId="7" fillId="10" borderId="0" xfId="0" applyNumberFormat="1" applyFont="1" applyFill="1" applyAlignment="1" applyProtection="1">
      <alignment horizontal="right" vertical="center"/>
      <protection hidden="1"/>
    </xf>
    <xf numFmtId="0" fontId="7" fillId="10" borderId="0" xfId="0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5" fillId="10" borderId="0" xfId="0" applyFont="1" applyFill="1" applyAlignment="1" applyProtection="1">
      <alignment horizontal="center" vertical="center"/>
      <protection hidden="1"/>
    </xf>
    <xf numFmtId="0" fontId="9" fillId="10" borderId="0" xfId="0" applyFont="1" applyFill="1" applyAlignment="1" applyProtection="1">
      <alignment horizontal="center" wrapText="1"/>
      <protection hidden="1"/>
    </xf>
    <xf numFmtId="14" fontId="7" fillId="10" borderId="0" xfId="0" applyNumberFormat="1" applyFont="1" applyFill="1" applyAlignment="1" applyProtection="1">
      <alignment horizontal="left" vertical="center"/>
      <protection hidden="1"/>
    </xf>
    <xf numFmtId="0" fontId="2" fillId="0" borderId="0" xfId="0" applyFont="1"/>
    <xf numFmtId="0" fontId="0" fillId="0" borderId="0" xfId="0"/>
    <xf numFmtId="0" fontId="3" fillId="0" borderId="0" xfId="0" applyFont="1"/>
    <xf numFmtId="0" fontId="1" fillId="0" borderId="5" xfId="0" applyFont="1" applyBorder="1"/>
    <xf numFmtId="0" fontId="0" fillId="0" borderId="5" xfId="0" applyBorder="1"/>
    <xf numFmtId="0" fontId="0" fillId="0" borderId="6" xfId="0" applyBorder="1" applyAlignment="1">
      <alignment textRotation="90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/>
    </xf>
    <xf numFmtId="0" fontId="7" fillId="7" borderId="0" xfId="0" applyFont="1" applyFill="1" applyAlignment="1" applyProtection="1">
      <alignment horizontal="center" vertical="center"/>
      <protection hidden="1"/>
    </xf>
    <xf numFmtId="0" fontId="5" fillId="7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 wrapText="1"/>
      <protection hidden="1"/>
    </xf>
  </cellXfs>
  <cellStyles count="1">
    <cellStyle name="Standard" xfId="0" builtinId="0"/>
  </cellStyles>
  <dxfs count="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L64"/>
  <sheetViews>
    <sheetView topLeftCell="A4" workbookViewId="0">
      <selection activeCell="C22" sqref="C22"/>
    </sheetView>
  </sheetViews>
  <sheetFormatPr baseColWidth="10" defaultColWidth="9.109375" defaultRowHeight="13.2" x14ac:dyDescent="0.25"/>
  <cols>
    <col min="1" max="1" width="18.5546875" bestFit="1" customWidth="1"/>
  </cols>
  <sheetData>
    <row r="1" spans="1:90" ht="35.4" customHeight="1" x14ac:dyDescent="0.6">
      <c r="E1" s="91" t="s">
        <v>68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  <c r="BY1" s="92"/>
      <c r="BZ1" s="92"/>
      <c r="CA1" s="92"/>
      <c r="CB1" s="92"/>
      <c r="CC1" s="92"/>
      <c r="CD1" s="92"/>
      <c r="CE1" s="92"/>
      <c r="CF1" s="92"/>
      <c r="CG1" s="92"/>
      <c r="CH1" s="92"/>
      <c r="CI1" s="92"/>
      <c r="CJ1" s="92"/>
      <c r="CK1" s="92"/>
      <c r="CL1" s="92"/>
    </row>
    <row r="2" spans="1:90" x14ac:dyDescent="0.25">
      <c r="A2" s="94" t="s">
        <v>69</v>
      </c>
      <c r="B2" s="94"/>
      <c r="C2" s="96" t="s">
        <v>70</v>
      </c>
      <c r="D2" s="93" t="s">
        <v>71</v>
      </c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3" t="s">
        <v>72</v>
      </c>
      <c r="S2" s="92"/>
      <c r="T2" s="92"/>
      <c r="U2" s="92"/>
      <c r="V2" s="92"/>
      <c r="W2" s="92"/>
      <c r="X2" s="99" t="s">
        <v>73</v>
      </c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92"/>
      <c r="BY2" s="92"/>
      <c r="BZ2" s="92"/>
      <c r="CA2" s="92"/>
      <c r="CB2" s="99" t="s">
        <v>74</v>
      </c>
      <c r="CC2" s="92"/>
      <c r="CD2" s="92"/>
      <c r="CE2" s="92"/>
      <c r="CF2" s="92"/>
      <c r="CG2" s="92"/>
      <c r="CH2" s="92"/>
      <c r="CI2" s="92"/>
      <c r="CJ2" s="92"/>
      <c r="CK2" s="92"/>
      <c r="CL2" s="92"/>
    </row>
    <row r="3" spans="1:90" x14ac:dyDescent="0.25">
      <c r="A3" s="92"/>
      <c r="B3" s="92"/>
      <c r="C3" s="97"/>
      <c r="D3" t="s">
        <v>75</v>
      </c>
      <c r="E3" t="s">
        <v>75</v>
      </c>
      <c r="F3" t="s">
        <v>75</v>
      </c>
      <c r="G3" t="s">
        <v>75</v>
      </c>
      <c r="H3" t="s">
        <v>75</v>
      </c>
      <c r="I3" t="s">
        <v>75</v>
      </c>
      <c r="J3" t="s">
        <v>75</v>
      </c>
      <c r="K3" t="s">
        <v>75</v>
      </c>
      <c r="L3" t="s">
        <v>75</v>
      </c>
      <c r="M3" t="s">
        <v>75</v>
      </c>
      <c r="N3" t="s">
        <v>75</v>
      </c>
      <c r="R3" t="s">
        <v>76</v>
      </c>
      <c r="S3" t="s">
        <v>75</v>
      </c>
      <c r="T3" t="s">
        <v>75</v>
      </c>
      <c r="U3" t="s">
        <v>75</v>
      </c>
      <c r="V3" t="s">
        <v>75</v>
      </c>
      <c r="X3" s="41" t="s">
        <v>75</v>
      </c>
      <c r="Y3" s="1" t="s">
        <v>75</v>
      </c>
      <c r="Z3" t="s">
        <v>75</v>
      </c>
      <c r="AA3" s="1" t="s">
        <v>75</v>
      </c>
      <c r="AB3" s="1" t="s">
        <v>75</v>
      </c>
      <c r="AC3" t="s">
        <v>76</v>
      </c>
      <c r="AD3" t="s">
        <v>75</v>
      </c>
      <c r="AE3" t="s">
        <v>76</v>
      </c>
      <c r="AF3" s="1" t="s">
        <v>76</v>
      </c>
      <c r="AG3" s="1" t="s">
        <v>75</v>
      </c>
      <c r="AH3" t="s">
        <v>75</v>
      </c>
      <c r="AI3" t="s">
        <v>76</v>
      </c>
      <c r="AJ3" t="s">
        <v>75</v>
      </c>
      <c r="AK3" t="s">
        <v>76</v>
      </c>
      <c r="AL3" t="s">
        <v>75</v>
      </c>
      <c r="AM3" s="1" t="s">
        <v>75</v>
      </c>
      <c r="AN3" s="1" t="s">
        <v>76</v>
      </c>
      <c r="AO3" s="1" t="s">
        <v>75</v>
      </c>
      <c r="AP3" s="1" t="s">
        <v>76</v>
      </c>
      <c r="AQ3" s="1" t="s">
        <v>75</v>
      </c>
      <c r="AR3" s="1" t="s">
        <v>76</v>
      </c>
      <c r="AS3" s="1" t="s">
        <v>75</v>
      </c>
      <c r="AT3" s="1" t="s">
        <v>76</v>
      </c>
      <c r="AU3" s="1" t="s">
        <v>75</v>
      </c>
      <c r="AV3" s="1" t="s">
        <v>76</v>
      </c>
      <c r="AW3" s="1" t="s">
        <v>75</v>
      </c>
      <c r="AX3" t="s">
        <v>75</v>
      </c>
      <c r="AY3" s="1" t="s">
        <v>75</v>
      </c>
      <c r="AZ3" s="1" t="s">
        <v>76</v>
      </c>
      <c r="BA3" s="1" t="s">
        <v>75</v>
      </c>
      <c r="BB3" s="1" t="s">
        <v>76</v>
      </c>
      <c r="BC3" s="1" t="s">
        <v>75</v>
      </c>
      <c r="BD3" s="1" t="s">
        <v>76</v>
      </c>
      <c r="BE3" s="1" t="s">
        <v>75</v>
      </c>
      <c r="BF3" s="1" t="s">
        <v>76</v>
      </c>
      <c r="BG3" s="1" t="s">
        <v>75</v>
      </c>
      <c r="BH3" s="1" t="s">
        <v>76</v>
      </c>
      <c r="BI3" s="1" t="s">
        <v>75</v>
      </c>
      <c r="BJ3" t="s">
        <v>75</v>
      </c>
      <c r="BK3" t="s">
        <v>76</v>
      </c>
      <c r="BL3" t="s">
        <v>75</v>
      </c>
      <c r="BM3" t="s">
        <v>76</v>
      </c>
      <c r="BN3" t="s">
        <v>75</v>
      </c>
      <c r="BO3" t="s">
        <v>76</v>
      </c>
      <c r="BP3" t="s">
        <v>75</v>
      </c>
      <c r="BQ3" t="s">
        <v>76</v>
      </c>
      <c r="BR3" t="s">
        <v>75</v>
      </c>
      <c r="BT3" t="s">
        <v>75</v>
      </c>
      <c r="BU3" t="s">
        <v>76</v>
      </c>
      <c r="CB3" s="41" t="s">
        <v>77</v>
      </c>
      <c r="CC3" s="42"/>
      <c r="CD3" s="42"/>
      <c r="CE3" s="42"/>
      <c r="CF3" s="42"/>
      <c r="CG3" s="42"/>
      <c r="CH3" s="42"/>
      <c r="CI3" s="42"/>
    </row>
    <row r="4" spans="1:90" ht="241.8" customHeight="1" x14ac:dyDescent="0.25">
      <c r="A4" s="95"/>
      <c r="B4" s="95"/>
      <c r="C4" s="98"/>
      <c r="D4" s="43" t="s">
        <v>78</v>
      </c>
      <c r="E4" s="43" t="s">
        <v>79</v>
      </c>
      <c r="F4" s="43" t="s">
        <v>80</v>
      </c>
      <c r="G4" s="43" t="s">
        <v>81</v>
      </c>
      <c r="H4" s="43" t="s">
        <v>82</v>
      </c>
      <c r="I4" s="43" t="s">
        <v>83</v>
      </c>
      <c r="J4" s="43" t="s">
        <v>77</v>
      </c>
      <c r="K4" s="43" t="s">
        <v>84</v>
      </c>
      <c r="L4" s="43" t="s">
        <v>77</v>
      </c>
      <c r="M4" s="43" t="s">
        <v>77</v>
      </c>
      <c r="N4" s="43" t="s">
        <v>77</v>
      </c>
      <c r="O4" s="43" t="s">
        <v>77</v>
      </c>
      <c r="P4" s="43" t="s">
        <v>77</v>
      </c>
      <c r="Q4" s="43" t="s">
        <v>77</v>
      </c>
      <c r="R4" s="43" t="s">
        <v>77</v>
      </c>
      <c r="S4" s="43" t="s">
        <v>85</v>
      </c>
      <c r="T4" s="43" t="s">
        <v>77</v>
      </c>
      <c r="U4" s="43" t="s">
        <v>86</v>
      </c>
      <c r="V4" s="43" t="s">
        <v>77</v>
      </c>
      <c r="W4" s="43" t="s">
        <v>77</v>
      </c>
      <c r="X4" s="44" t="s">
        <v>87</v>
      </c>
      <c r="Y4" s="45" t="s">
        <v>88</v>
      </c>
      <c r="Z4" s="45" t="s">
        <v>89</v>
      </c>
      <c r="AA4" s="45" t="s">
        <v>90</v>
      </c>
      <c r="AB4" s="45" t="s">
        <v>91</v>
      </c>
      <c r="AC4" s="45" t="s">
        <v>92</v>
      </c>
      <c r="AD4" s="45" t="s">
        <v>93</v>
      </c>
      <c r="AE4" s="45" t="s">
        <v>94</v>
      </c>
      <c r="AF4" s="45" t="s">
        <v>95</v>
      </c>
      <c r="AG4" s="45" t="s">
        <v>96</v>
      </c>
      <c r="AH4" s="45" t="s">
        <v>97</v>
      </c>
      <c r="AI4" s="45" t="s">
        <v>98</v>
      </c>
      <c r="AJ4" s="45" t="s">
        <v>99</v>
      </c>
      <c r="AK4" s="45" t="s">
        <v>100</v>
      </c>
      <c r="AL4" s="45" t="s">
        <v>101</v>
      </c>
      <c r="AM4" s="45" t="s">
        <v>102</v>
      </c>
      <c r="AN4" s="45" t="s">
        <v>103</v>
      </c>
      <c r="AO4" s="45" t="s">
        <v>104</v>
      </c>
      <c r="AP4" s="45" t="s">
        <v>105</v>
      </c>
      <c r="AQ4" s="45" t="s">
        <v>106</v>
      </c>
      <c r="AR4" s="45" t="s">
        <v>107</v>
      </c>
      <c r="AS4" s="45" t="s">
        <v>108</v>
      </c>
      <c r="AT4" s="45" t="s">
        <v>109</v>
      </c>
      <c r="AU4" s="45" t="s">
        <v>110</v>
      </c>
      <c r="AV4" s="45" t="s">
        <v>111</v>
      </c>
      <c r="AW4" s="45" t="s">
        <v>112</v>
      </c>
      <c r="AX4" s="45" t="s">
        <v>113</v>
      </c>
      <c r="AY4" s="45" t="s">
        <v>114</v>
      </c>
      <c r="AZ4" s="45" t="s">
        <v>115</v>
      </c>
      <c r="BA4" s="45" t="s">
        <v>116</v>
      </c>
      <c r="BB4" s="45" t="s">
        <v>117</v>
      </c>
      <c r="BC4" s="45" t="s">
        <v>118</v>
      </c>
      <c r="BD4" s="45" t="s">
        <v>119</v>
      </c>
      <c r="BE4" s="45" t="s">
        <v>120</v>
      </c>
      <c r="BF4" s="45" t="s">
        <v>121</v>
      </c>
      <c r="BG4" s="45" t="s">
        <v>122</v>
      </c>
      <c r="BH4" s="45" t="s">
        <v>123</v>
      </c>
      <c r="BI4" s="45" t="s">
        <v>124</v>
      </c>
      <c r="BJ4" s="45" t="s">
        <v>125</v>
      </c>
      <c r="BK4" s="45" t="s">
        <v>126</v>
      </c>
      <c r="BL4" s="45" t="s">
        <v>127</v>
      </c>
      <c r="BM4" s="45" t="s">
        <v>128</v>
      </c>
      <c r="BN4" s="45" t="s">
        <v>129</v>
      </c>
      <c r="BO4" s="45" t="s">
        <v>130</v>
      </c>
      <c r="BP4" s="45" t="s">
        <v>131</v>
      </c>
      <c r="BQ4" s="45" t="s">
        <v>132</v>
      </c>
      <c r="BR4" s="45" t="s">
        <v>133</v>
      </c>
      <c r="BS4" s="45" t="s">
        <v>134</v>
      </c>
      <c r="BT4" s="45" t="s">
        <v>135</v>
      </c>
      <c r="BU4" s="45" t="s">
        <v>136</v>
      </c>
      <c r="BV4" s="45"/>
      <c r="BW4" s="42"/>
      <c r="BX4" s="42"/>
      <c r="BY4" s="42"/>
      <c r="BZ4" s="42"/>
      <c r="CA4" s="43" t="s">
        <v>77</v>
      </c>
      <c r="CB4" s="46" t="s">
        <v>137</v>
      </c>
      <c r="CC4" s="43" t="s">
        <v>138</v>
      </c>
      <c r="CD4" s="43" t="s">
        <v>139</v>
      </c>
      <c r="CE4" s="43" t="s">
        <v>140</v>
      </c>
      <c r="CF4" s="43" t="s">
        <v>141</v>
      </c>
      <c r="CG4" s="43" t="s">
        <v>142</v>
      </c>
      <c r="CH4" s="43" t="s">
        <v>143</v>
      </c>
      <c r="CI4" s="43" t="s">
        <v>144</v>
      </c>
      <c r="CJ4" s="43" t="s">
        <v>145</v>
      </c>
      <c r="CK4" s="43" t="s">
        <v>146</v>
      </c>
      <c r="CL4" s="43" t="s">
        <v>147</v>
      </c>
    </row>
    <row r="5" spans="1:90" x14ac:dyDescent="0.25">
      <c r="A5" t="s">
        <v>148</v>
      </c>
      <c r="B5" t="s">
        <v>149</v>
      </c>
      <c r="C5">
        <v>109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K5">
        <v>2</v>
      </c>
      <c r="S5">
        <v>0</v>
      </c>
      <c r="X5" s="41">
        <v>0</v>
      </c>
      <c r="Y5">
        <v>0</v>
      </c>
      <c r="AA5">
        <v>0</v>
      </c>
      <c r="AB5">
        <v>0</v>
      </c>
      <c r="AD5">
        <v>0</v>
      </c>
      <c r="AG5">
        <v>0</v>
      </c>
      <c r="AH5">
        <v>0</v>
      </c>
      <c r="AJ5">
        <v>0</v>
      </c>
      <c r="BA5">
        <v>0</v>
      </c>
      <c r="BJ5">
        <v>0</v>
      </c>
      <c r="BN5">
        <v>0</v>
      </c>
      <c r="BP5">
        <v>0</v>
      </c>
      <c r="BR5">
        <v>0</v>
      </c>
      <c r="BS5">
        <v>0</v>
      </c>
      <c r="BT5">
        <v>3</v>
      </c>
      <c r="CB5" s="41">
        <v>14</v>
      </c>
      <c r="CC5">
        <v>0</v>
      </c>
      <c r="CD5">
        <v>14</v>
      </c>
      <c r="CE5">
        <v>3</v>
      </c>
      <c r="CF5">
        <v>0</v>
      </c>
      <c r="CG5">
        <v>3</v>
      </c>
      <c r="CH5">
        <v>8</v>
      </c>
      <c r="CI5">
        <v>2</v>
      </c>
      <c r="CJ5">
        <v>22</v>
      </c>
      <c r="CK5">
        <v>5</v>
      </c>
      <c r="CL5">
        <v>131</v>
      </c>
    </row>
    <row r="6" spans="1:90" x14ac:dyDescent="0.25">
      <c r="A6" t="s">
        <v>150</v>
      </c>
      <c r="B6" t="s">
        <v>151</v>
      </c>
      <c r="C6">
        <v>379</v>
      </c>
      <c r="X6" s="41" t="s">
        <v>77</v>
      </c>
      <c r="CB6" s="41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379</v>
      </c>
    </row>
    <row r="7" spans="1:90" x14ac:dyDescent="0.25">
      <c r="A7" t="s">
        <v>152</v>
      </c>
      <c r="B7" t="s">
        <v>149</v>
      </c>
      <c r="C7">
        <v>75</v>
      </c>
      <c r="X7" s="41" t="s">
        <v>77</v>
      </c>
      <c r="CB7" s="41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75</v>
      </c>
    </row>
    <row r="8" spans="1:90" x14ac:dyDescent="0.25">
      <c r="A8" t="s">
        <v>153</v>
      </c>
      <c r="B8" t="s">
        <v>149</v>
      </c>
      <c r="C8">
        <v>60</v>
      </c>
      <c r="X8" s="41" t="s">
        <v>77</v>
      </c>
      <c r="CB8" s="41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60</v>
      </c>
    </row>
    <row r="9" spans="1:90" x14ac:dyDescent="0.25">
      <c r="A9" t="s">
        <v>154</v>
      </c>
      <c r="B9" t="s">
        <v>149</v>
      </c>
      <c r="C9">
        <v>63</v>
      </c>
      <c r="X9" s="41" t="s">
        <v>77</v>
      </c>
      <c r="CB9" s="41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63</v>
      </c>
    </row>
    <row r="10" spans="1:90" x14ac:dyDescent="0.25">
      <c r="A10" t="s">
        <v>155</v>
      </c>
      <c r="B10" t="s">
        <v>149</v>
      </c>
      <c r="C10">
        <v>13</v>
      </c>
      <c r="D10">
        <v>0</v>
      </c>
      <c r="E10">
        <v>0</v>
      </c>
      <c r="F10">
        <v>0</v>
      </c>
      <c r="H10">
        <v>0</v>
      </c>
      <c r="I10">
        <v>0</v>
      </c>
      <c r="S10">
        <v>0</v>
      </c>
      <c r="X10" s="41">
        <v>0</v>
      </c>
      <c r="Y10">
        <v>0</v>
      </c>
      <c r="Z10">
        <v>0</v>
      </c>
      <c r="AA10">
        <v>0</v>
      </c>
      <c r="AB10">
        <v>0</v>
      </c>
      <c r="AD10">
        <v>0</v>
      </c>
      <c r="AG10">
        <v>0</v>
      </c>
      <c r="AH10">
        <v>0</v>
      </c>
      <c r="AJ10">
        <v>0</v>
      </c>
      <c r="AL10">
        <v>0</v>
      </c>
      <c r="AM10">
        <v>0</v>
      </c>
      <c r="AQ10">
        <v>0</v>
      </c>
      <c r="AS10">
        <v>0</v>
      </c>
      <c r="AU10">
        <v>0</v>
      </c>
      <c r="AW10">
        <v>0</v>
      </c>
      <c r="AX10">
        <v>0</v>
      </c>
      <c r="AY10">
        <v>0</v>
      </c>
      <c r="BA10">
        <v>0</v>
      </c>
      <c r="BC10">
        <v>0</v>
      </c>
      <c r="BE10">
        <v>0</v>
      </c>
      <c r="BG10">
        <v>0</v>
      </c>
      <c r="BI10">
        <v>0</v>
      </c>
      <c r="CB10" s="41">
        <v>22</v>
      </c>
      <c r="CC10">
        <v>0</v>
      </c>
      <c r="CD10">
        <v>22</v>
      </c>
      <c r="CE10">
        <v>0</v>
      </c>
      <c r="CF10">
        <v>0</v>
      </c>
      <c r="CG10">
        <v>0</v>
      </c>
      <c r="CH10">
        <v>6</v>
      </c>
      <c r="CI10">
        <v>0</v>
      </c>
      <c r="CJ10">
        <v>28</v>
      </c>
      <c r="CK10">
        <v>0</v>
      </c>
      <c r="CL10">
        <v>41</v>
      </c>
    </row>
    <row r="11" spans="1:90" x14ac:dyDescent="0.25">
      <c r="A11" t="s">
        <v>156</v>
      </c>
      <c r="B11" t="s">
        <v>149</v>
      </c>
      <c r="C11">
        <v>118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K11">
        <v>1</v>
      </c>
      <c r="S11">
        <v>0</v>
      </c>
      <c r="X11" s="41">
        <v>0</v>
      </c>
      <c r="Y11">
        <v>0</v>
      </c>
      <c r="Z11">
        <v>0</v>
      </c>
      <c r="AA11">
        <v>0</v>
      </c>
      <c r="AB11">
        <v>0</v>
      </c>
      <c r="AD11">
        <v>0</v>
      </c>
      <c r="AG11">
        <v>0</v>
      </c>
      <c r="AH11">
        <v>0</v>
      </c>
      <c r="AJ11">
        <v>0</v>
      </c>
      <c r="AL11">
        <v>0</v>
      </c>
      <c r="AM11">
        <v>0</v>
      </c>
      <c r="AQ11">
        <v>0</v>
      </c>
      <c r="AS11">
        <v>0</v>
      </c>
      <c r="AU11">
        <v>0</v>
      </c>
      <c r="AW11">
        <v>0</v>
      </c>
      <c r="AX11">
        <v>0</v>
      </c>
      <c r="AY11">
        <v>0</v>
      </c>
      <c r="BA11">
        <v>0</v>
      </c>
      <c r="BC11">
        <v>0</v>
      </c>
      <c r="BE11">
        <v>0</v>
      </c>
      <c r="BG11">
        <v>0</v>
      </c>
      <c r="BI11">
        <v>0</v>
      </c>
      <c r="BJ11">
        <v>0</v>
      </c>
      <c r="BN11">
        <v>0</v>
      </c>
      <c r="BT11">
        <v>3</v>
      </c>
      <c r="CB11" s="41">
        <v>25</v>
      </c>
      <c r="CC11">
        <v>0</v>
      </c>
      <c r="CD11">
        <v>25</v>
      </c>
      <c r="CE11">
        <v>3</v>
      </c>
      <c r="CF11">
        <v>0</v>
      </c>
      <c r="CG11">
        <v>3</v>
      </c>
      <c r="CH11">
        <v>8</v>
      </c>
      <c r="CI11">
        <v>1</v>
      </c>
      <c r="CJ11">
        <v>33</v>
      </c>
      <c r="CK11">
        <v>4</v>
      </c>
      <c r="CL11">
        <v>151</v>
      </c>
    </row>
    <row r="12" spans="1:90" x14ac:dyDescent="0.25">
      <c r="A12" t="s">
        <v>157</v>
      </c>
      <c r="B12" t="s">
        <v>151</v>
      </c>
      <c r="C12">
        <v>10</v>
      </c>
      <c r="X12" s="41" t="s">
        <v>77</v>
      </c>
      <c r="CB12" s="41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10</v>
      </c>
    </row>
    <row r="13" spans="1:90" x14ac:dyDescent="0.25">
      <c r="A13" t="s">
        <v>158</v>
      </c>
      <c r="B13" t="s">
        <v>151</v>
      </c>
      <c r="C13">
        <v>206</v>
      </c>
      <c r="X13" s="41" t="s">
        <v>77</v>
      </c>
      <c r="CB13" s="41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206</v>
      </c>
    </row>
    <row r="14" spans="1:90" x14ac:dyDescent="0.25">
      <c r="A14" t="s">
        <v>159</v>
      </c>
      <c r="B14" t="s">
        <v>151</v>
      </c>
      <c r="C14">
        <v>7</v>
      </c>
      <c r="D14">
        <v>0</v>
      </c>
      <c r="E14">
        <v>0</v>
      </c>
      <c r="F14">
        <v>0</v>
      </c>
      <c r="H14">
        <v>0</v>
      </c>
      <c r="I14">
        <v>0</v>
      </c>
      <c r="X14" s="41">
        <v>0</v>
      </c>
      <c r="Y14">
        <v>0</v>
      </c>
      <c r="Z14">
        <v>0</v>
      </c>
      <c r="AB14">
        <v>0</v>
      </c>
      <c r="AD14">
        <v>0</v>
      </c>
      <c r="AH14">
        <v>0</v>
      </c>
      <c r="AJ14">
        <v>0</v>
      </c>
      <c r="AU14">
        <v>0</v>
      </c>
      <c r="AW14">
        <v>0</v>
      </c>
      <c r="CB14" s="41">
        <v>9</v>
      </c>
      <c r="CC14">
        <v>0</v>
      </c>
      <c r="CD14">
        <v>9</v>
      </c>
      <c r="CE14">
        <v>0</v>
      </c>
      <c r="CF14">
        <v>0</v>
      </c>
      <c r="CG14">
        <v>0</v>
      </c>
      <c r="CH14">
        <v>5</v>
      </c>
      <c r="CI14">
        <v>0</v>
      </c>
      <c r="CJ14">
        <v>14</v>
      </c>
      <c r="CK14">
        <v>0</v>
      </c>
      <c r="CL14">
        <v>21</v>
      </c>
    </row>
    <row r="15" spans="1:90" x14ac:dyDescent="0.25">
      <c r="A15" t="s">
        <v>160</v>
      </c>
      <c r="B15" t="s">
        <v>151</v>
      </c>
      <c r="C15">
        <v>373</v>
      </c>
      <c r="X15" s="41" t="s">
        <v>77</v>
      </c>
      <c r="CB15" s="41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373</v>
      </c>
    </row>
    <row r="16" spans="1:90" x14ac:dyDescent="0.25">
      <c r="A16" t="s">
        <v>161</v>
      </c>
      <c r="B16" t="s">
        <v>151</v>
      </c>
      <c r="C16">
        <v>143</v>
      </c>
      <c r="D16">
        <v>0</v>
      </c>
      <c r="E16">
        <v>0</v>
      </c>
      <c r="F16">
        <v>0</v>
      </c>
      <c r="S16">
        <v>0</v>
      </c>
      <c r="X16" s="41" t="s">
        <v>77</v>
      </c>
      <c r="AA16">
        <v>0</v>
      </c>
      <c r="AB16">
        <v>0</v>
      </c>
      <c r="AD16">
        <v>0</v>
      </c>
      <c r="AG16">
        <v>0</v>
      </c>
      <c r="AS16">
        <v>0</v>
      </c>
      <c r="AU16">
        <v>0</v>
      </c>
      <c r="AY16">
        <v>0</v>
      </c>
      <c r="BA16">
        <v>0</v>
      </c>
      <c r="BC16">
        <v>0</v>
      </c>
      <c r="BE16">
        <v>0</v>
      </c>
      <c r="BG16">
        <v>0</v>
      </c>
      <c r="BI16">
        <v>0</v>
      </c>
      <c r="BJ16">
        <v>0</v>
      </c>
      <c r="BL16">
        <v>0</v>
      </c>
      <c r="BN16">
        <v>0</v>
      </c>
      <c r="BP16">
        <v>0</v>
      </c>
      <c r="BS16">
        <v>0</v>
      </c>
      <c r="BT16">
        <v>2</v>
      </c>
      <c r="CB16" s="41">
        <v>17</v>
      </c>
      <c r="CC16">
        <v>0</v>
      </c>
      <c r="CD16">
        <v>17</v>
      </c>
      <c r="CE16">
        <v>2</v>
      </c>
      <c r="CF16">
        <v>0</v>
      </c>
      <c r="CG16">
        <v>2</v>
      </c>
      <c r="CH16">
        <v>4</v>
      </c>
      <c r="CI16">
        <v>0</v>
      </c>
      <c r="CJ16">
        <v>21</v>
      </c>
      <c r="CK16">
        <v>2</v>
      </c>
      <c r="CL16">
        <v>164</v>
      </c>
    </row>
    <row r="17" spans="1:90" x14ac:dyDescent="0.25">
      <c r="A17" t="s">
        <v>162</v>
      </c>
      <c r="B17" t="s">
        <v>151</v>
      </c>
      <c r="C17">
        <v>161</v>
      </c>
      <c r="D17">
        <v>0</v>
      </c>
      <c r="E17">
        <v>0</v>
      </c>
      <c r="I17">
        <v>0</v>
      </c>
      <c r="S17">
        <v>0</v>
      </c>
      <c r="X17" s="41" t="s">
        <v>77</v>
      </c>
      <c r="AA17">
        <v>0</v>
      </c>
      <c r="AB17">
        <v>0</v>
      </c>
      <c r="CB17" s="41">
        <v>2</v>
      </c>
      <c r="CC17">
        <v>0</v>
      </c>
      <c r="CD17">
        <v>2</v>
      </c>
      <c r="CE17">
        <v>0</v>
      </c>
      <c r="CF17">
        <v>0</v>
      </c>
      <c r="CG17">
        <v>0</v>
      </c>
      <c r="CH17">
        <v>4</v>
      </c>
      <c r="CI17">
        <v>0</v>
      </c>
      <c r="CJ17">
        <v>6</v>
      </c>
      <c r="CK17">
        <v>0</v>
      </c>
      <c r="CL17">
        <v>167</v>
      </c>
    </row>
    <row r="18" spans="1:90" x14ac:dyDescent="0.25">
      <c r="A18" t="s">
        <v>163</v>
      </c>
      <c r="B18" t="s">
        <v>151</v>
      </c>
      <c r="C18">
        <v>380</v>
      </c>
      <c r="X18" s="41" t="s">
        <v>77</v>
      </c>
      <c r="CB18" s="41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380</v>
      </c>
    </row>
    <row r="19" spans="1:90" x14ac:dyDescent="0.25">
      <c r="A19" t="s">
        <v>164</v>
      </c>
      <c r="B19" t="s">
        <v>151</v>
      </c>
      <c r="C19">
        <v>27</v>
      </c>
      <c r="X19" s="41" t="s">
        <v>77</v>
      </c>
      <c r="CB19" s="41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27</v>
      </c>
    </row>
    <row r="20" spans="1:90" x14ac:dyDescent="0.25">
      <c r="A20" t="s">
        <v>165</v>
      </c>
      <c r="B20" t="s">
        <v>149</v>
      </c>
      <c r="C20">
        <v>70</v>
      </c>
      <c r="E20">
        <v>0</v>
      </c>
      <c r="G20">
        <v>0</v>
      </c>
      <c r="H20">
        <v>0</v>
      </c>
      <c r="I20">
        <v>0</v>
      </c>
      <c r="S20">
        <v>0</v>
      </c>
      <c r="X20" s="41">
        <v>0</v>
      </c>
      <c r="Z20">
        <v>0</v>
      </c>
      <c r="AS20">
        <v>0</v>
      </c>
      <c r="AU20">
        <v>0</v>
      </c>
      <c r="AW20">
        <v>0</v>
      </c>
      <c r="BG20">
        <v>0</v>
      </c>
      <c r="BI20">
        <v>0</v>
      </c>
      <c r="BJ20">
        <v>0</v>
      </c>
      <c r="BP20">
        <v>0</v>
      </c>
      <c r="BQ20">
        <v>0</v>
      </c>
      <c r="BT20">
        <v>1</v>
      </c>
      <c r="CB20" s="41">
        <v>10</v>
      </c>
      <c r="CC20">
        <v>1</v>
      </c>
      <c r="CD20">
        <v>11</v>
      </c>
      <c r="CE20">
        <v>1</v>
      </c>
      <c r="CF20">
        <v>0</v>
      </c>
      <c r="CG20">
        <v>1</v>
      </c>
      <c r="CH20">
        <v>5</v>
      </c>
      <c r="CI20">
        <v>0</v>
      </c>
      <c r="CJ20">
        <v>16</v>
      </c>
      <c r="CK20">
        <v>1</v>
      </c>
      <c r="CL20">
        <v>86</v>
      </c>
    </row>
    <row r="21" spans="1:90" x14ac:dyDescent="0.25">
      <c r="A21" t="s">
        <v>166</v>
      </c>
      <c r="B21" t="s">
        <v>151</v>
      </c>
      <c r="C21">
        <v>16</v>
      </c>
      <c r="X21" s="41" t="s">
        <v>77</v>
      </c>
      <c r="CB21" s="4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16</v>
      </c>
    </row>
    <row r="22" spans="1:90" x14ac:dyDescent="0.25">
      <c r="A22" t="s">
        <v>167</v>
      </c>
      <c r="B22" t="s">
        <v>151</v>
      </c>
      <c r="C22">
        <v>3</v>
      </c>
      <c r="X22" s="41" t="s">
        <v>77</v>
      </c>
      <c r="CB22" s="41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3</v>
      </c>
    </row>
    <row r="23" spans="1:90" x14ac:dyDescent="0.25">
      <c r="A23" t="s">
        <v>168</v>
      </c>
      <c r="B23" t="s">
        <v>151</v>
      </c>
      <c r="C23">
        <v>46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X23" s="41" t="s">
        <v>77</v>
      </c>
      <c r="Y23">
        <v>0</v>
      </c>
      <c r="Z23">
        <v>0</v>
      </c>
      <c r="AA23">
        <v>0</v>
      </c>
      <c r="AB23">
        <v>0</v>
      </c>
      <c r="AH23">
        <v>0</v>
      </c>
      <c r="AJ23">
        <v>0</v>
      </c>
      <c r="AL23">
        <v>0</v>
      </c>
      <c r="AM23">
        <v>0</v>
      </c>
      <c r="AU23">
        <v>0</v>
      </c>
      <c r="AW23">
        <v>0</v>
      </c>
      <c r="AX23">
        <v>0</v>
      </c>
      <c r="AY23">
        <v>0</v>
      </c>
      <c r="BA23">
        <v>0</v>
      </c>
      <c r="BC23">
        <v>0</v>
      </c>
      <c r="BE23">
        <v>0</v>
      </c>
      <c r="BG23">
        <v>0</v>
      </c>
      <c r="BI23">
        <v>0</v>
      </c>
      <c r="BJ23">
        <v>0</v>
      </c>
      <c r="BL23">
        <v>0</v>
      </c>
      <c r="BN23">
        <v>0</v>
      </c>
      <c r="BS23">
        <v>0</v>
      </c>
      <c r="BT23">
        <v>1</v>
      </c>
      <c r="CB23" s="41">
        <v>21</v>
      </c>
      <c r="CC23">
        <v>0</v>
      </c>
      <c r="CD23">
        <v>21</v>
      </c>
      <c r="CE23">
        <v>1</v>
      </c>
      <c r="CF23">
        <v>0</v>
      </c>
      <c r="CG23">
        <v>1</v>
      </c>
      <c r="CH23">
        <v>7</v>
      </c>
      <c r="CI23">
        <v>0</v>
      </c>
      <c r="CJ23">
        <v>28</v>
      </c>
      <c r="CK23">
        <v>1</v>
      </c>
      <c r="CL23">
        <v>74</v>
      </c>
    </row>
    <row r="24" spans="1:90" x14ac:dyDescent="0.25">
      <c r="A24" t="s">
        <v>169</v>
      </c>
      <c r="B24" t="s">
        <v>151</v>
      </c>
      <c r="C24">
        <v>243</v>
      </c>
      <c r="X24" s="41" t="s">
        <v>77</v>
      </c>
      <c r="CB24" s="41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243</v>
      </c>
    </row>
    <row r="25" spans="1:90" x14ac:dyDescent="0.25">
      <c r="A25" t="s">
        <v>170</v>
      </c>
      <c r="B25" t="s">
        <v>151</v>
      </c>
      <c r="C25">
        <v>336</v>
      </c>
      <c r="X25" s="41" t="s">
        <v>77</v>
      </c>
      <c r="CB25" s="41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336</v>
      </c>
    </row>
    <row r="26" spans="1:90" x14ac:dyDescent="0.25">
      <c r="A26" t="s">
        <v>171</v>
      </c>
      <c r="B26" t="s">
        <v>151</v>
      </c>
      <c r="C26">
        <v>274</v>
      </c>
      <c r="X26" s="41" t="s">
        <v>77</v>
      </c>
      <c r="CB26" s="41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274</v>
      </c>
    </row>
    <row r="27" spans="1:90" x14ac:dyDescent="0.25">
      <c r="A27" t="s">
        <v>172</v>
      </c>
      <c r="B27" t="s">
        <v>151</v>
      </c>
      <c r="C27">
        <v>417</v>
      </c>
      <c r="D27">
        <v>0</v>
      </c>
      <c r="E27">
        <v>0</v>
      </c>
      <c r="F27">
        <v>0</v>
      </c>
      <c r="G27">
        <v>0</v>
      </c>
      <c r="I27">
        <v>0</v>
      </c>
      <c r="K27">
        <v>6</v>
      </c>
      <c r="X27" s="41">
        <v>0</v>
      </c>
      <c r="Y27">
        <v>0</v>
      </c>
      <c r="Z27">
        <v>0</v>
      </c>
      <c r="AD27">
        <v>0</v>
      </c>
      <c r="AG27">
        <v>0</v>
      </c>
      <c r="AH27">
        <v>0</v>
      </c>
      <c r="AJ27">
        <v>0</v>
      </c>
      <c r="AL27">
        <v>0</v>
      </c>
      <c r="AQ27">
        <v>0</v>
      </c>
      <c r="AS27">
        <v>0</v>
      </c>
      <c r="AX27">
        <v>0</v>
      </c>
      <c r="AY27">
        <v>0</v>
      </c>
      <c r="BA27">
        <v>0</v>
      </c>
      <c r="BC27">
        <v>0</v>
      </c>
      <c r="BE27">
        <v>0</v>
      </c>
      <c r="BN27">
        <v>0</v>
      </c>
      <c r="BO27">
        <v>0</v>
      </c>
      <c r="BR27">
        <v>0</v>
      </c>
      <c r="BS27">
        <v>0</v>
      </c>
      <c r="BT27">
        <v>10</v>
      </c>
      <c r="CB27" s="41">
        <v>18</v>
      </c>
      <c r="CC27">
        <v>1</v>
      </c>
      <c r="CD27">
        <v>19</v>
      </c>
      <c r="CE27">
        <v>10</v>
      </c>
      <c r="CF27">
        <v>0</v>
      </c>
      <c r="CG27">
        <v>10</v>
      </c>
      <c r="CH27">
        <v>6</v>
      </c>
      <c r="CI27">
        <v>6</v>
      </c>
      <c r="CJ27">
        <v>25</v>
      </c>
      <c r="CK27">
        <v>16</v>
      </c>
      <c r="CL27">
        <v>442</v>
      </c>
    </row>
    <row r="28" spans="1:90" x14ac:dyDescent="0.25">
      <c r="A28" t="s">
        <v>173</v>
      </c>
      <c r="B28" t="s">
        <v>151</v>
      </c>
      <c r="C28">
        <v>334</v>
      </c>
      <c r="G28">
        <v>0</v>
      </c>
      <c r="H28">
        <v>0</v>
      </c>
      <c r="I28">
        <v>0</v>
      </c>
      <c r="X28" s="41">
        <v>0</v>
      </c>
      <c r="Y28">
        <v>0</v>
      </c>
      <c r="Z28">
        <v>0</v>
      </c>
      <c r="AA28">
        <v>0</v>
      </c>
      <c r="AB28">
        <v>0</v>
      </c>
      <c r="AD28">
        <v>0</v>
      </c>
      <c r="CB28" s="41">
        <v>6</v>
      </c>
      <c r="CC28">
        <v>0</v>
      </c>
      <c r="CD28">
        <v>6</v>
      </c>
      <c r="CE28">
        <v>0</v>
      </c>
      <c r="CF28">
        <v>0</v>
      </c>
      <c r="CG28">
        <v>0</v>
      </c>
      <c r="CH28">
        <v>3</v>
      </c>
      <c r="CI28">
        <v>0</v>
      </c>
      <c r="CJ28">
        <v>9</v>
      </c>
      <c r="CK28">
        <v>0</v>
      </c>
      <c r="CL28">
        <v>343</v>
      </c>
    </row>
    <row r="29" spans="1:90" x14ac:dyDescent="0.25">
      <c r="A29" t="s">
        <v>174</v>
      </c>
      <c r="B29" t="s">
        <v>151</v>
      </c>
      <c r="C29">
        <v>214</v>
      </c>
      <c r="X29" s="41" t="s">
        <v>77</v>
      </c>
      <c r="CB29" s="41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214</v>
      </c>
    </row>
    <row r="30" spans="1:90" x14ac:dyDescent="0.25">
      <c r="A30" t="s">
        <v>175</v>
      </c>
      <c r="B30" t="s">
        <v>151</v>
      </c>
      <c r="C30">
        <v>253</v>
      </c>
      <c r="X30" s="41" t="s">
        <v>77</v>
      </c>
      <c r="CB30" s="41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253</v>
      </c>
    </row>
    <row r="31" spans="1:90" x14ac:dyDescent="0.25">
      <c r="A31" t="s">
        <v>176</v>
      </c>
      <c r="B31" t="s">
        <v>151</v>
      </c>
      <c r="C31">
        <v>106</v>
      </c>
      <c r="X31" s="41" t="s">
        <v>77</v>
      </c>
      <c r="AG31">
        <v>0</v>
      </c>
      <c r="AH31">
        <v>0</v>
      </c>
      <c r="AJ31">
        <v>0</v>
      </c>
      <c r="AL31">
        <v>0</v>
      </c>
      <c r="AM31">
        <v>0</v>
      </c>
      <c r="AQ31">
        <v>0</v>
      </c>
      <c r="AS31">
        <v>0</v>
      </c>
      <c r="AU31">
        <v>0</v>
      </c>
      <c r="AX31">
        <v>0</v>
      </c>
      <c r="AY31">
        <v>0</v>
      </c>
      <c r="BA31">
        <v>0</v>
      </c>
      <c r="BC31">
        <v>0</v>
      </c>
      <c r="BE31">
        <v>0</v>
      </c>
      <c r="BG31">
        <v>0</v>
      </c>
      <c r="BI31">
        <v>0</v>
      </c>
      <c r="BJ31">
        <v>0</v>
      </c>
      <c r="BL31">
        <v>0</v>
      </c>
      <c r="BN31">
        <v>0</v>
      </c>
      <c r="BP31">
        <v>0</v>
      </c>
      <c r="BR31">
        <v>0</v>
      </c>
      <c r="BS31">
        <v>0</v>
      </c>
      <c r="CB31" s="41">
        <v>20</v>
      </c>
      <c r="CC31">
        <v>0</v>
      </c>
      <c r="CD31">
        <v>20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20</v>
      </c>
      <c r="CK31">
        <v>0</v>
      </c>
      <c r="CL31">
        <v>126</v>
      </c>
    </row>
    <row r="32" spans="1:90" x14ac:dyDescent="0.25">
      <c r="A32" t="s">
        <v>177</v>
      </c>
      <c r="B32" t="s">
        <v>149</v>
      </c>
      <c r="C32">
        <v>35</v>
      </c>
      <c r="X32" s="41" t="s">
        <v>77</v>
      </c>
      <c r="CB32" s="41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35</v>
      </c>
    </row>
    <row r="33" spans="1:90" x14ac:dyDescent="0.25">
      <c r="A33" t="s">
        <v>178</v>
      </c>
      <c r="B33" t="s">
        <v>149</v>
      </c>
      <c r="C33">
        <v>28</v>
      </c>
      <c r="E33">
        <v>0</v>
      </c>
      <c r="F33">
        <v>0</v>
      </c>
      <c r="G33">
        <v>0</v>
      </c>
      <c r="H33">
        <v>0</v>
      </c>
      <c r="K33">
        <v>1</v>
      </c>
      <c r="X33" s="41">
        <v>0</v>
      </c>
      <c r="Y33">
        <v>0</v>
      </c>
      <c r="Z33">
        <v>0</v>
      </c>
      <c r="AA33">
        <v>0</v>
      </c>
      <c r="AB33">
        <v>0</v>
      </c>
      <c r="AD33">
        <v>0</v>
      </c>
      <c r="AG33">
        <v>0</v>
      </c>
      <c r="AJ33">
        <v>0</v>
      </c>
      <c r="AL33">
        <v>0</v>
      </c>
      <c r="AM33">
        <v>0</v>
      </c>
      <c r="AQ33">
        <v>0</v>
      </c>
      <c r="AS33">
        <v>0</v>
      </c>
      <c r="AU33">
        <v>0</v>
      </c>
      <c r="AW33">
        <v>0</v>
      </c>
      <c r="AY33">
        <v>0</v>
      </c>
      <c r="BC33">
        <v>0</v>
      </c>
      <c r="BE33">
        <v>0</v>
      </c>
      <c r="BG33">
        <v>0</v>
      </c>
      <c r="BI33">
        <v>0</v>
      </c>
      <c r="BJ33">
        <v>0</v>
      </c>
      <c r="BP33">
        <v>0</v>
      </c>
      <c r="BR33">
        <v>0</v>
      </c>
      <c r="BT33">
        <v>1</v>
      </c>
      <c r="CB33" s="41">
        <v>23</v>
      </c>
      <c r="CC33">
        <v>0</v>
      </c>
      <c r="CD33">
        <v>23</v>
      </c>
      <c r="CE33">
        <v>1</v>
      </c>
      <c r="CF33">
        <v>0</v>
      </c>
      <c r="CG33">
        <v>1</v>
      </c>
      <c r="CH33">
        <v>5</v>
      </c>
      <c r="CI33">
        <v>1</v>
      </c>
      <c r="CJ33">
        <v>28</v>
      </c>
      <c r="CK33">
        <v>2</v>
      </c>
      <c r="CL33">
        <v>56</v>
      </c>
    </row>
    <row r="34" spans="1:90" x14ac:dyDescent="0.25">
      <c r="A34" t="s">
        <v>179</v>
      </c>
      <c r="B34" t="s">
        <v>151</v>
      </c>
      <c r="C34">
        <v>40</v>
      </c>
      <c r="D34">
        <v>0</v>
      </c>
      <c r="E34">
        <v>0</v>
      </c>
      <c r="F34">
        <v>0</v>
      </c>
      <c r="G34">
        <v>0</v>
      </c>
      <c r="H34">
        <v>0</v>
      </c>
      <c r="S34">
        <v>0</v>
      </c>
      <c r="X34" s="41">
        <v>0</v>
      </c>
      <c r="Y34">
        <v>0</v>
      </c>
      <c r="Z34">
        <v>0</v>
      </c>
      <c r="AA34">
        <v>0</v>
      </c>
      <c r="AB34">
        <v>0</v>
      </c>
      <c r="AD34">
        <v>0</v>
      </c>
      <c r="AG34">
        <v>0</v>
      </c>
      <c r="AH34">
        <v>0</v>
      </c>
      <c r="AJ34">
        <v>0</v>
      </c>
      <c r="AL34">
        <v>0</v>
      </c>
      <c r="AM34">
        <v>0</v>
      </c>
      <c r="AQ34">
        <v>0</v>
      </c>
      <c r="AS34">
        <v>0</v>
      </c>
      <c r="AU34">
        <v>0</v>
      </c>
      <c r="AX34">
        <v>0</v>
      </c>
      <c r="AY34">
        <v>0</v>
      </c>
      <c r="BC34">
        <v>0</v>
      </c>
      <c r="BE34">
        <v>0</v>
      </c>
      <c r="BG34">
        <v>0</v>
      </c>
      <c r="BI34">
        <v>0</v>
      </c>
      <c r="BJ34">
        <v>0</v>
      </c>
      <c r="BL34">
        <v>0</v>
      </c>
      <c r="BN34">
        <v>0</v>
      </c>
      <c r="BP34">
        <v>0</v>
      </c>
      <c r="BR34">
        <v>0</v>
      </c>
      <c r="BS34">
        <v>0</v>
      </c>
      <c r="BT34">
        <v>4</v>
      </c>
      <c r="CB34" s="41">
        <v>26</v>
      </c>
      <c r="CC34">
        <v>0</v>
      </c>
      <c r="CD34">
        <v>26</v>
      </c>
      <c r="CE34">
        <v>4</v>
      </c>
      <c r="CF34">
        <v>0</v>
      </c>
      <c r="CG34">
        <v>4</v>
      </c>
      <c r="CH34">
        <v>6</v>
      </c>
      <c r="CI34">
        <v>0</v>
      </c>
      <c r="CJ34">
        <v>32</v>
      </c>
      <c r="CK34">
        <v>4</v>
      </c>
      <c r="CL34">
        <v>72</v>
      </c>
    </row>
    <row r="35" spans="1:90" x14ac:dyDescent="0.25">
      <c r="A35" t="s">
        <v>180</v>
      </c>
      <c r="B35" t="s">
        <v>149</v>
      </c>
      <c r="C35">
        <v>40</v>
      </c>
      <c r="D35">
        <v>0</v>
      </c>
      <c r="E35">
        <v>0</v>
      </c>
      <c r="F35">
        <v>0</v>
      </c>
      <c r="G35">
        <v>0</v>
      </c>
      <c r="H35">
        <v>0</v>
      </c>
      <c r="X35" s="41" t="s">
        <v>77</v>
      </c>
      <c r="AB35">
        <v>0</v>
      </c>
      <c r="AD35">
        <v>0</v>
      </c>
      <c r="AJ35">
        <v>0</v>
      </c>
      <c r="AL35">
        <v>0</v>
      </c>
      <c r="AM35">
        <v>0</v>
      </c>
      <c r="AQ35">
        <v>0</v>
      </c>
      <c r="AS35">
        <v>0</v>
      </c>
      <c r="AX35">
        <v>0</v>
      </c>
      <c r="BA35">
        <v>0</v>
      </c>
      <c r="BC35">
        <v>0</v>
      </c>
      <c r="BE35">
        <v>0</v>
      </c>
      <c r="BG35">
        <v>0</v>
      </c>
      <c r="BI35">
        <v>0</v>
      </c>
      <c r="BJ35">
        <v>0</v>
      </c>
      <c r="BL35">
        <v>0</v>
      </c>
      <c r="BN35">
        <v>0</v>
      </c>
      <c r="BP35">
        <v>0</v>
      </c>
      <c r="BR35">
        <v>0</v>
      </c>
      <c r="BS35">
        <v>0</v>
      </c>
      <c r="CB35" s="41">
        <v>18</v>
      </c>
      <c r="CC35">
        <v>0</v>
      </c>
      <c r="CD35">
        <v>18</v>
      </c>
      <c r="CE35">
        <v>0</v>
      </c>
      <c r="CF35">
        <v>0</v>
      </c>
      <c r="CG35">
        <v>0</v>
      </c>
      <c r="CH35">
        <v>5</v>
      </c>
      <c r="CI35">
        <v>0</v>
      </c>
      <c r="CJ35">
        <v>23</v>
      </c>
      <c r="CK35">
        <v>0</v>
      </c>
      <c r="CL35">
        <v>63</v>
      </c>
    </row>
    <row r="36" spans="1:90" x14ac:dyDescent="0.25">
      <c r="A36" t="s">
        <v>181</v>
      </c>
      <c r="B36" t="s">
        <v>151</v>
      </c>
      <c r="C36">
        <v>351</v>
      </c>
      <c r="X36" s="41" t="s">
        <v>77</v>
      </c>
      <c r="CB36" s="41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351</v>
      </c>
    </row>
    <row r="37" spans="1:90" x14ac:dyDescent="0.25">
      <c r="A37" t="s">
        <v>182</v>
      </c>
      <c r="B37" t="s">
        <v>151</v>
      </c>
      <c r="C37">
        <v>6</v>
      </c>
      <c r="X37" s="41" t="s">
        <v>77</v>
      </c>
      <c r="CB37" s="41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6</v>
      </c>
    </row>
    <row r="38" spans="1:90" x14ac:dyDescent="0.25">
      <c r="A38" t="s">
        <v>183</v>
      </c>
      <c r="B38" t="s">
        <v>151</v>
      </c>
      <c r="C38">
        <v>4</v>
      </c>
      <c r="X38" s="41" t="s">
        <v>77</v>
      </c>
      <c r="CB38" s="41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4</v>
      </c>
    </row>
    <row r="39" spans="1:90" x14ac:dyDescent="0.25">
      <c r="A39" t="s">
        <v>184</v>
      </c>
      <c r="B39" t="s">
        <v>149</v>
      </c>
      <c r="C39">
        <v>151</v>
      </c>
      <c r="E39">
        <v>0</v>
      </c>
      <c r="F39">
        <v>0</v>
      </c>
      <c r="G39">
        <v>0</v>
      </c>
      <c r="H39">
        <v>0</v>
      </c>
      <c r="I39">
        <v>0</v>
      </c>
      <c r="S39">
        <v>0</v>
      </c>
      <c r="X39" s="41">
        <v>0</v>
      </c>
      <c r="Y39">
        <v>0</v>
      </c>
      <c r="Z39">
        <v>0</v>
      </c>
      <c r="AA39">
        <v>0</v>
      </c>
      <c r="AB39">
        <v>0</v>
      </c>
      <c r="AD39">
        <v>0</v>
      </c>
      <c r="AG39">
        <v>0</v>
      </c>
      <c r="AJ39">
        <v>0</v>
      </c>
      <c r="AL39">
        <v>0</v>
      </c>
      <c r="AM39">
        <v>0</v>
      </c>
      <c r="AQ39">
        <v>0</v>
      </c>
      <c r="AS39">
        <v>0</v>
      </c>
      <c r="AW39">
        <v>0</v>
      </c>
      <c r="AX39">
        <v>0</v>
      </c>
      <c r="AY39">
        <v>0</v>
      </c>
      <c r="BA39">
        <v>0</v>
      </c>
      <c r="BC39">
        <v>0</v>
      </c>
      <c r="BE39">
        <v>0</v>
      </c>
      <c r="BG39">
        <v>0</v>
      </c>
      <c r="BI39">
        <v>0</v>
      </c>
      <c r="BL39">
        <v>0</v>
      </c>
      <c r="BP39">
        <v>0</v>
      </c>
      <c r="BR39">
        <v>0</v>
      </c>
      <c r="BS39">
        <v>0</v>
      </c>
      <c r="BT39">
        <v>1</v>
      </c>
      <c r="CB39" s="41">
        <v>24</v>
      </c>
      <c r="CC39">
        <v>0</v>
      </c>
      <c r="CD39">
        <v>24</v>
      </c>
      <c r="CE39">
        <v>1</v>
      </c>
      <c r="CF39">
        <v>0</v>
      </c>
      <c r="CG39">
        <v>1</v>
      </c>
      <c r="CH39">
        <v>6</v>
      </c>
      <c r="CI39">
        <v>0</v>
      </c>
      <c r="CJ39">
        <v>30</v>
      </c>
      <c r="CK39">
        <v>1</v>
      </c>
      <c r="CL39">
        <v>181</v>
      </c>
    </row>
    <row r="40" spans="1:90" x14ac:dyDescent="0.25">
      <c r="A40" t="s">
        <v>185</v>
      </c>
      <c r="B40" t="s">
        <v>149</v>
      </c>
      <c r="C40">
        <v>24</v>
      </c>
      <c r="X40" s="41" t="s">
        <v>77</v>
      </c>
      <c r="CB40" s="41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24</v>
      </c>
    </row>
    <row r="41" spans="1:90" x14ac:dyDescent="0.25">
      <c r="A41" t="s">
        <v>186</v>
      </c>
      <c r="B41" t="s">
        <v>149</v>
      </c>
      <c r="C41">
        <v>52</v>
      </c>
      <c r="D41">
        <v>0</v>
      </c>
      <c r="I41">
        <v>0</v>
      </c>
      <c r="X41" s="41" t="s">
        <v>77</v>
      </c>
      <c r="CB41" s="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2</v>
      </c>
      <c r="CI41">
        <v>0</v>
      </c>
      <c r="CJ41">
        <v>2</v>
      </c>
      <c r="CK41">
        <v>0</v>
      </c>
      <c r="CL41">
        <v>54</v>
      </c>
    </row>
    <row r="42" spans="1:90" x14ac:dyDescent="0.25">
      <c r="A42" t="s">
        <v>187</v>
      </c>
      <c r="B42" t="s">
        <v>149</v>
      </c>
      <c r="C42">
        <v>100</v>
      </c>
      <c r="D42">
        <v>0</v>
      </c>
      <c r="E42">
        <v>0</v>
      </c>
      <c r="G42">
        <v>0</v>
      </c>
      <c r="X42" s="41" t="s">
        <v>77</v>
      </c>
      <c r="AH42">
        <v>0</v>
      </c>
      <c r="AW42">
        <v>0</v>
      </c>
      <c r="CB42" s="41">
        <v>2</v>
      </c>
      <c r="CC42">
        <v>0</v>
      </c>
      <c r="CD42">
        <v>2</v>
      </c>
      <c r="CE42">
        <v>0</v>
      </c>
      <c r="CF42">
        <v>0</v>
      </c>
      <c r="CG42">
        <v>0</v>
      </c>
      <c r="CH42">
        <v>3</v>
      </c>
      <c r="CI42">
        <v>0</v>
      </c>
      <c r="CJ42">
        <v>5</v>
      </c>
      <c r="CK42">
        <v>0</v>
      </c>
      <c r="CL42">
        <v>105</v>
      </c>
    </row>
    <row r="43" spans="1:90" x14ac:dyDescent="0.25">
      <c r="A43" t="s">
        <v>188</v>
      </c>
      <c r="B43" t="s">
        <v>151</v>
      </c>
      <c r="C43">
        <v>107</v>
      </c>
      <c r="D43">
        <v>0</v>
      </c>
      <c r="E43">
        <v>0</v>
      </c>
      <c r="F43">
        <v>0</v>
      </c>
      <c r="G43">
        <v>0</v>
      </c>
      <c r="I43">
        <v>0</v>
      </c>
      <c r="K43">
        <v>4</v>
      </c>
      <c r="S43">
        <v>0</v>
      </c>
      <c r="X43" s="41">
        <v>0</v>
      </c>
      <c r="Y43">
        <v>0</v>
      </c>
      <c r="Z43">
        <v>0</v>
      </c>
      <c r="AA43">
        <v>0</v>
      </c>
      <c r="AB43">
        <v>0</v>
      </c>
      <c r="AD43">
        <v>0</v>
      </c>
      <c r="AG43">
        <v>0</v>
      </c>
      <c r="AH43">
        <v>0</v>
      </c>
      <c r="AJ43">
        <v>0</v>
      </c>
      <c r="AL43">
        <v>0</v>
      </c>
      <c r="AM43">
        <v>0</v>
      </c>
      <c r="AQ43">
        <v>0</v>
      </c>
      <c r="AS43">
        <v>0</v>
      </c>
      <c r="AU43">
        <v>0</v>
      </c>
      <c r="AW43">
        <v>0</v>
      </c>
      <c r="AX43">
        <v>0</v>
      </c>
      <c r="AY43">
        <v>0</v>
      </c>
      <c r="AZ43">
        <v>0</v>
      </c>
      <c r="BG43">
        <v>0</v>
      </c>
      <c r="BJ43">
        <v>0</v>
      </c>
      <c r="BL43">
        <v>0</v>
      </c>
      <c r="BN43">
        <v>0</v>
      </c>
      <c r="BP43">
        <v>0</v>
      </c>
      <c r="BR43">
        <v>0</v>
      </c>
      <c r="BS43">
        <v>0</v>
      </c>
      <c r="BT43">
        <v>8</v>
      </c>
      <c r="CB43" s="41">
        <v>24</v>
      </c>
      <c r="CC43">
        <v>1</v>
      </c>
      <c r="CD43">
        <v>25</v>
      </c>
      <c r="CE43">
        <v>8</v>
      </c>
      <c r="CF43">
        <v>0</v>
      </c>
      <c r="CG43">
        <v>8</v>
      </c>
      <c r="CH43">
        <v>7</v>
      </c>
      <c r="CI43">
        <v>4</v>
      </c>
      <c r="CJ43">
        <v>32</v>
      </c>
      <c r="CK43">
        <v>12</v>
      </c>
      <c r="CL43">
        <v>139</v>
      </c>
    </row>
    <row r="44" spans="1:90" x14ac:dyDescent="0.25">
      <c r="A44" t="s">
        <v>189</v>
      </c>
      <c r="B44" t="s">
        <v>151</v>
      </c>
      <c r="C44">
        <v>40</v>
      </c>
      <c r="X44" s="41" t="s">
        <v>77</v>
      </c>
      <c r="CB44" s="41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40</v>
      </c>
    </row>
    <row r="45" spans="1:90" x14ac:dyDescent="0.25">
      <c r="A45" t="s">
        <v>190</v>
      </c>
      <c r="B45" t="s">
        <v>151</v>
      </c>
      <c r="C45">
        <v>82</v>
      </c>
      <c r="X45" s="41" t="s">
        <v>77</v>
      </c>
      <c r="AG45">
        <v>0</v>
      </c>
      <c r="AH45">
        <v>0</v>
      </c>
      <c r="AL45">
        <v>0</v>
      </c>
      <c r="AM45">
        <v>0</v>
      </c>
      <c r="AQ45">
        <v>0</v>
      </c>
      <c r="AS45">
        <v>0</v>
      </c>
      <c r="AU45">
        <v>0</v>
      </c>
      <c r="AX45">
        <v>0</v>
      </c>
      <c r="AY45">
        <v>0</v>
      </c>
      <c r="BA45">
        <v>0</v>
      </c>
      <c r="BC45">
        <v>0</v>
      </c>
      <c r="BE45">
        <v>0</v>
      </c>
      <c r="BG45">
        <v>0</v>
      </c>
      <c r="BI45">
        <v>0</v>
      </c>
      <c r="BJ45">
        <v>0</v>
      </c>
      <c r="BL45">
        <v>0</v>
      </c>
      <c r="BN45">
        <v>0</v>
      </c>
      <c r="BP45">
        <v>0</v>
      </c>
      <c r="BR45">
        <v>0</v>
      </c>
      <c r="BS45">
        <v>0</v>
      </c>
      <c r="CB45" s="41">
        <v>19</v>
      </c>
      <c r="CC45">
        <v>0</v>
      </c>
      <c r="CD45">
        <v>19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19</v>
      </c>
      <c r="CK45">
        <v>0</v>
      </c>
      <c r="CL45">
        <v>101</v>
      </c>
    </row>
    <row r="46" spans="1:90" x14ac:dyDescent="0.25">
      <c r="A46" t="s">
        <v>191</v>
      </c>
      <c r="B46" t="s">
        <v>151</v>
      </c>
      <c r="C46">
        <v>68</v>
      </c>
      <c r="X46" s="41" t="s">
        <v>77</v>
      </c>
      <c r="CB46" s="41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68</v>
      </c>
    </row>
    <row r="47" spans="1:90" x14ac:dyDescent="0.25">
      <c r="A47" t="s">
        <v>192</v>
      </c>
      <c r="B47" t="s">
        <v>149</v>
      </c>
      <c r="C47">
        <v>106</v>
      </c>
      <c r="D47">
        <v>0</v>
      </c>
      <c r="X47" s="41" t="s">
        <v>77</v>
      </c>
      <c r="BL47">
        <v>0</v>
      </c>
      <c r="BN47">
        <v>0</v>
      </c>
      <c r="BR47">
        <v>0</v>
      </c>
      <c r="CB47" s="41">
        <v>3</v>
      </c>
      <c r="CC47">
        <v>0</v>
      </c>
      <c r="CD47">
        <v>3</v>
      </c>
      <c r="CE47">
        <v>0</v>
      </c>
      <c r="CF47">
        <v>0</v>
      </c>
      <c r="CG47">
        <v>0</v>
      </c>
      <c r="CH47">
        <v>1</v>
      </c>
      <c r="CI47">
        <v>0</v>
      </c>
      <c r="CJ47">
        <v>4</v>
      </c>
      <c r="CK47">
        <v>0</v>
      </c>
      <c r="CL47">
        <v>110</v>
      </c>
    </row>
    <row r="48" spans="1:90" x14ac:dyDescent="0.25">
      <c r="A48" t="s">
        <v>193</v>
      </c>
      <c r="B48" t="s">
        <v>151</v>
      </c>
      <c r="C48">
        <v>3</v>
      </c>
      <c r="D48">
        <v>0</v>
      </c>
      <c r="E48">
        <v>0</v>
      </c>
      <c r="F48">
        <v>0</v>
      </c>
      <c r="H48">
        <v>0</v>
      </c>
      <c r="X48" s="41" t="s">
        <v>77</v>
      </c>
      <c r="BT48">
        <v>1</v>
      </c>
      <c r="CB48" s="41">
        <v>1</v>
      </c>
      <c r="CC48">
        <v>0</v>
      </c>
      <c r="CD48">
        <v>1</v>
      </c>
      <c r="CE48">
        <v>1</v>
      </c>
      <c r="CF48">
        <v>0</v>
      </c>
      <c r="CG48">
        <v>1</v>
      </c>
      <c r="CH48">
        <v>4</v>
      </c>
      <c r="CI48">
        <v>0</v>
      </c>
      <c r="CJ48">
        <v>5</v>
      </c>
      <c r="CK48">
        <v>1</v>
      </c>
      <c r="CL48">
        <v>8</v>
      </c>
    </row>
    <row r="49" spans="1:90" x14ac:dyDescent="0.25">
      <c r="A49" t="s">
        <v>194</v>
      </c>
      <c r="B49" t="s">
        <v>149</v>
      </c>
      <c r="C49">
        <v>53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S49">
        <v>0</v>
      </c>
      <c r="X49" s="41">
        <v>0</v>
      </c>
      <c r="Y49">
        <v>0</v>
      </c>
      <c r="Z49">
        <v>0</v>
      </c>
      <c r="AL49">
        <v>0</v>
      </c>
      <c r="AM49">
        <v>0</v>
      </c>
      <c r="AU49">
        <v>0</v>
      </c>
      <c r="AX49">
        <v>0</v>
      </c>
      <c r="AY49">
        <v>0</v>
      </c>
      <c r="BA49">
        <v>0</v>
      </c>
      <c r="BC49">
        <v>0</v>
      </c>
      <c r="BG49">
        <v>0</v>
      </c>
      <c r="BI49">
        <v>0</v>
      </c>
      <c r="BJ49">
        <v>0</v>
      </c>
      <c r="BL49">
        <v>0</v>
      </c>
      <c r="BN49">
        <v>0</v>
      </c>
      <c r="BP49">
        <v>0</v>
      </c>
      <c r="BR49">
        <v>0</v>
      </c>
      <c r="BS49">
        <v>0</v>
      </c>
      <c r="CB49" s="41">
        <v>17</v>
      </c>
      <c r="CC49">
        <v>0</v>
      </c>
      <c r="CD49">
        <v>17</v>
      </c>
      <c r="CE49">
        <v>0</v>
      </c>
      <c r="CF49">
        <v>0</v>
      </c>
      <c r="CG49">
        <v>0</v>
      </c>
      <c r="CH49">
        <v>7</v>
      </c>
      <c r="CI49">
        <v>0</v>
      </c>
      <c r="CJ49">
        <v>24</v>
      </c>
      <c r="CK49">
        <v>0</v>
      </c>
      <c r="CL49">
        <v>77</v>
      </c>
    </row>
    <row r="50" spans="1:90" x14ac:dyDescent="0.25">
      <c r="A50" t="s">
        <v>195</v>
      </c>
      <c r="B50" t="s">
        <v>149</v>
      </c>
      <c r="C50">
        <v>73</v>
      </c>
      <c r="X50" s="41" t="s">
        <v>77</v>
      </c>
      <c r="CB50" s="41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73</v>
      </c>
    </row>
    <row r="51" spans="1:90" x14ac:dyDescent="0.25">
      <c r="A51" t="s">
        <v>196</v>
      </c>
      <c r="B51" t="s">
        <v>149</v>
      </c>
      <c r="C51">
        <v>161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K51">
        <v>7</v>
      </c>
      <c r="S51">
        <v>0</v>
      </c>
      <c r="U51">
        <v>2</v>
      </c>
      <c r="X51" s="41">
        <v>0</v>
      </c>
      <c r="Y51">
        <v>0</v>
      </c>
      <c r="Z51">
        <v>0</v>
      </c>
      <c r="AA51">
        <v>0</v>
      </c>
      <c r="AB51">
        <v>0</v>
      </c>
      <c r="AD51">
        <v>0</v>
      </c>
      <c r="AG51">
        <v>0</v>
      </c>
      <c r="AH51">
        <v>0</v>
      </c>
      <c r="AJ51">
        <v>0</v>
      </c>
      <c r="AL51">
        <v>0</v>
      </c>
      <c r="AM51">
        <v>0</v>
      </c>
      <c r="AQ51">
        <v>0</v>
      </c>
      <c r="AX51">
        <v>0</v>
      </c>
      <c r="AY51">
        <v>0</v>
      </c>
      <c r="BA51">
        <v>0</v>
      </c>
      <c r="BE51">
        <v>0</v>
      </c>
      <c r="BG51">
        <v>0</v>
      </c>
      <c r="BI51">
        <v>0</v>
      </c>
      <c r="BJ51">
        <v>0</v>
      </c>
      <c r="BL51">
        <v>0</v>
      </c>
      <c r="BN51">
        <v>0</v>
      </c>
      <c r="BP51">
        <v>0</v>
      </c>
      <c r="BR51">
        <v>0</v>
      </c>
      <c r="BS51">
        <v>0</v>
      </c>
      <c r="BT51">
        <v>10</v>
      </c>
      <c r="CB51" s="41">
        <v>24</v>
      </c>
      <c r="CC51">
        <v>0</v>
      </c>
      <c r="CD51">
        <v>24</v>
      </c>
      <c r="CE51">
        <v>10</v>
      </c>
      <c r="CF51">
        <v>0</v>
      </c>
      <c r="CG51">
        <v>10</v>
      </c>
      <c r="CH51">
        <v>9</v>
      </c>
      <c r="CI51">
        <v>9</v>
      </c>
      <c r="CJ51">
        <v>33</v>
      </c>
      <c r="CK51">
        <v>19</v>
      </c>
      <c r="CL51">
        <v>194</v>
      </c>
    </row>
    <row r="52" spans="1:90" x14ac:dyDescent="0.25">
      <c r="A52" t="s">
        <v>197</v>
      </c>
      <c r="B52" t="s">
        <v>149</v>
      </c>
      <c r="C52">
        <v>8</v>
      </c>
      <c r="X52" s="41" t="s">
        <v>77</v>
      </c>
      <c r="CB52" s="41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8</v>
      </c>
    </row>
    <row r="53" spans="1:90" x14ac:dyDescent="0.25">
      <c r="A53" t="s">
        <v>198</v>
      </c>
      <c r="B53" t="s">
        <v>151</v>
      </c>
      <c r="C53">
        <v>6</v>
      </c>
      <c r="D53">
        <v>0</v>
      </c>
      <c r="E53">
        <v>0</v>
      </c>
      <c r="F53">
        <v>0</v>
      </c>
      <c r="H53">
        <v>0</v>
      </c>
      <c r="X53" s="41" t="s">
        <v>77</v>
      </c>
      <c r="CB53" s="41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4</v>
      </c>
      <c r="CI53">
        <v>0</v>
      </c>
      <c r="CJ53">
        <v>4</v>
      </c>
      <c r="CK53">
        <v>0</v>
      </c>
      <c r="CL53">
        <v>10</v>
      </c>
    </row>
    <row r="54" spans="1:90" x14ac:dyDescent="0.25">
      <c r="A54" t="s">
        <v>199</v>
      </c>
      <c r="B54" t="s">
        <v>151</v>
      </c>
      <c r="C54">
        <v>107</v>
      </c>
      <c r="X54" s="41" t="s">
        <v>77</v>
      </c>
      <c r="CB54" s="41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107</v>
      </c>
    </row>
    <row r="55" spans="1:90" x14ac:dyDescent="0.25">
      <c r="A55" t="s">
        <v>200</v>
      </c>
      <c r="B55" t="s">
        <v>149</v>
      </c>
      <c r="C55">
        <v>37</v>
      </c>
      <c r="F55">
        <v>0</v>
      </c>
      <c r="X55" s="41">
        <v>0</v>
      </c>
      <c r="Y55">
        <v>0</v>
      </c>
      <c r="Z55">
        <v>0</v>
      </c>
      <c r="AD55">
        <v>0</v>
      </c>
      <c r="AG55">
        <v>0</v>
      </c>
      <c r="AH55">
        <v>0</v>
      </c>
      <c r="AJ55">
        <v>0</v>
      </c>
      <c r="AL55">
        <v>0</v>
      </c>
      <c r="AM55">
        <v>0</v>
      </c>
      <c r="AQ55">
        <v>0</v>
      </c>
      <c r="AS55">
        <v>0</v>
      </c>
      <c r="AU55">
        <v>0</v>
      </c>
      <c r="BS55">
        <v>0</v>
      </c>
      <c r="BT55">
        <v>1</v>
      </c>
      <c r="CB55" s="41">
        <v>13</v>
      </c>
      <c r="CC55">
        <v>0</v>
      </c>
      <c r="CD55">
        <v>13</v>
      </c>
      <c r="CE55">
        <v>1</v>
      </c>
      <c r="CF55">
        <v>0</v>
      </c>
      <c r="CG55">
        <v>1</v>
      </c>
      <c r="CH55">
        <v>1</v>
      </c>
      <c r="CI55">
        <v>0</v>
      </c>
      <c r="CJ55">
        <v>14</v>
      </c>
      <c r="CK55">
        <v>1</v>
      </c>
      <c r="CL55">
        <v>51</v>
      </c>
    </row>
    <row r="56" spans="1:90" x14ac:dyDescent="0.25">
      <c r="A56" t="s">
        <v>201</v>
      </c>
      <c r="B56" t="s">
        <v>151</v>
      </c>
      <c r="C56">
        <v>57</v>
      </c>
      <c r="E56">
        <v>0</v>
      </c>
      <c r="X56" s="41" t="s">
        <v>77</v>
      </c>
      <c r="AH56">
        <v>0</v>
      </c>
      <c r="AM56">
        <v>0</v>
      </c>
      <c r="AQ56">
        <v>0</v>
      </c>
      <c r="AS56">
        <v>0</v>
      </c>
      <c r="AU56">
        <v>0</v>
      </c>
      <c r="AW56">
        <v>0</v>
      </c>
      <c r="AX56">
        <v>0</v>
      </c>
      <c r="AY56">
        <v>0</v>
      </c>
      <c r="BA56">
        <v>0</v>
      </c>
      <c r="BC56">
        <v>0</v>
      </c>
      <c r="BE56">
        <v>0</v>
      </c>
      <c r="BJ56">
        <v>0</v>
      </c>
      <c r="BL56">
        <v>0</v>
      </c>
      <c r="BN56">
        <v>0</v>
      </c>
      <c r="BP56">
        <v>0</v>
      </c>
      <c r="BR56">
        <v>0</v>
      </c>
      <c r="BS56">
        <v>0</v>
      </c>
      <c r="CB56" s="41">
        <v>16</v>
      </c>
      <c r="CC56">
        <v>0</v>
      </c>
      <c r="CD56">
        <v>16</v>
      </c>
      <c r="CE56">
        <v>0</v>
      </c>
      <c r="CF56">
        <v>0</v>
      </c>
      <c r="CG56">
        <v>0</v>
      </c>
      <c r="CH56">
        <v>1</v>
      </c>
      <c r="CI56">
        <v>0</v>
      </c>
      <c r="CJ56">
        <v>17</v>
      </c>
      <c r="CK56">
        <v>0</v>
      </c>
      <c r="CL56">
        <v>74</v>
      </c>
    </row>
    <row r="57" spans="1:90" x14ac:dyDescent="0.25">
      <c r="A57" t="s">
        <v>202</v>
      </c>
      <c r="B57" t="s">
        <v>151</v>
      </c>
      <c r="C57">
        <v>9</v>
      </c>
      <c r="X57" s="41" t="s">
        <v>77</v>
      </c>
      <c r="CB57" s="41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9</v>
      </c>
    </row>
    <row r="58" spans="1:90" x14ac:dyDescent="0.25">
      <c r="X58" s="41" t="s">
        <v>77</v>
      </c>
      <c r="CB58" s="41" t="s">
        <v>77</v>
      </c>
    </row>
    <row r="59" spans="1:90" x14ac:dyDescent="0.25">
      <c r="A59" s="10" t="s">
        <v>203</v>
      </c>
      <c r="B59" s="10" t="s">
        <v>77</v>
      </c>
      <c r="C59" s="11" t="s">
        <v>77</v>
      </c>
      <c r="D59" s="10">
        <v>18</v>
      </c>
      <c r="E59" s="10">
        <v>19</v>
      </c>
      <c r="F59" s="10">
        <v>17</v>
      </c>
      <c r="G59" s="10">
        <v>14</v>
      </c>
      <c r="H59" s="10">
        <v>15</v>
      </c>
      <c r="I59" s="10">
        <v>14</v>
      </c>
      <c r="J59" s="10">
        <v>0</v>
      </c>
      <c r="K59" s="10">
        <v>6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12</v>
      </c>
      <c r="T59" s="10">
        <v>0</v>
      </c>
      <c r="U59" s="10">
        <v>1</v>
      </c>
      <c r="V59" s="10">
        <v>0</v>
      </c>
      <c r="W59" s="10" t="s">
        <v>77</v>
      </c>
      <c r="X59" s="47">
        <v>14</v>
      </c>
      <c r="Y59" s="10">
        <v>14</v>
      </c>
      <c r="Z59" s="10">
        <v>14</v>
      </c>
      <c r="AA59" s="10">
        <v>12</v>
      </c>
      <c r="AB59" s="10">
        <v>14</v>
      </c>
      <c r="AC59" s="10">
        <v>0</v>
      </c>
      <c r="AD59" s="10">
        <v>14</v>
      </c>
      <c r="AE59" s="10">
        <v>0</v>
      </c>
      <c r="AF59" s="10">
        <v>0</v>
      </c>
      <c r="AG59" s="10">
        <v>13</v>
      </c>
      <c r="AH59" s="10">
        <v>14</v>
      </c>
      <c r="AI59" s="10">
        <v>0</v>
      </c>
      <c r="AJ59" s="10">
        <v>14</v>
      </c>
      <c r="AK59" s="10">
        <v>0</v>
      </c>
      <c r="AL59" s="10">
        <v>14</v>
      </c>
      <c r="AM59" s="10">
        <v>14</v>
      </c>
      <c r="AN59" s="10">
        <v>0</v>
      </c>
      <c r="AO59" s="10">
        <v>0</v>
      </c>
      <c r="AP59" s="10">
        <v>0</v>
      </c>
      <c r="AQ59" s="10">
        <v>13</v>
      </c>
      <c r="AR59" s="10">
        <v>0</v>
      </c>
      <c r="AS59" s="10">
        <v>14</v>
      </c>
      <c r="AT59" s="10">
        <v>0</v>
      </c>
      <c r="AU59" s="10">
        <v>14</v>
      </c>
      <c r="AV59" s="10">
        <v>0</v>
      </c>
      <c r="AW59" s="10">
        <v>10</v>
      </c>
      <c r="AX59" s="10">
        <v>13</v>
      </c>
      <c r="AY59" s="10">
        <v>14</v>
      </c>
      <c r="AZ59" s="10">
        <v>1</v>
      </c>
      <c r="BA59" s="10">
        <v>13</v>
      </c>
      <c r="BB59" s="10">
        <v>0</v>
      </c>
      <c r="BC59" s="10">
        <v>13</v>
      </c>
      <c r="BD59" s="10">
        <v>0</v>
      </c>
      <c r="BE59" s="10">
        <v>13</v>
      </c>
      <c r="BF59" s="10">
        <v>0</v>
      </c>
      <c r="BG59" s="10">
        <v>14</v>
      </c>
      <c r="BH59" s="10">
        <v>0</v>
      </c>
      <c r="BI59" s="10">
        <v>13</v>
      </c>
      <c r="BJ59" s="10">
        <v>14</v>
      </c>
      <c r="BK59" s="10">
        <v>0</v>
      </c>
      <c r="BL59" s="10">
        <v>12</v>
      </c>
      <c r="BM59" s="10">
        <v>0</v>
      </c>
      <c r="BN59" s="10">
        <v>13</v>
      </c>
      <c r="BO59" s="10">
        <v>1</v>
      </c>
      <c r="BP59" s="10">
        <v>12</v>
      </c>
      <c r="BQ59" s="10">
        <v>1</v>
      </c>
      <c r="BR59" s="10">
        <v>12</v>
      </c>
      <c r="BS59" s="10">
        <v>13</v>
      </c>
      <c r="BT59" s="10">
        <v>13</v>
      </c>
      <c r="BU59" s="10">
        <v>0</v>
      </c>
      <c r="BV59" s="10">
        <v>0</v>
      </c>
      <c r="BW59" s="10">
        <v>0</v>
      </c>
      <c r="BX59" s="10">
        <v>0</v>
      </c>
      <c r="BY59" s="10">
        <v>0</v>
      </c>
      <c r="BZ59" s="10">
        <v>0</v>
      </c>
      <c r="CA59" s="10">
        <v>0</v>
      </c>
      <c r="CB59" s="47" t="s">
        <v>77</v>
      </c>
      <c r="CC59" s="10" t="s">
        <v>77</v>
      </c>
      <c r="CD59" s="10" t="s">
        <v>77</v>
      </c>
      <c r="CE59" s="10" t="s">
        <v>77</v>
      </c>
      <c r="CF59" s="10" t="s">
        <v>77</v>
      </c>
      <c r="CG59" s="10" t="s">
        <v>77</v>
      </c>
      <c r="CH59" s="10" t="s">
        <v>77</v>
      </c>
      <c r="CI59" s="10" t="s">
        <v>77</v>
      </c>
      <c r="CJ59" s="10" t="s">
        <v>77</v>
      </c>
      <c r="CK59" s="10" t="s">
        <v>77</v>
      </c>
      <c r="CL59" s="10" t="s">
        <v>77</v>
      </c>
    </row>
    <row r="60" spans="1:90" x14ac:dyDescent="0.25">
      <c r="A60" s="8" t="s">
        <v>204</v>
      </c>
      <c r="B60" s="8" t="s">
        <v>77</v>
      </c>
      <c r="C60" s="9" t="s">
        <v>77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21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2</v>
      </c>
      <c r="V60" s="8">
        <v>0</v>
      </c>
      <c r="W60" s="8" t="s">
        <v>77</v>
      </c>
      <c r="X60" s="4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>
        <v>0</v>
      </c>
      <c r="AZ60" s="8">
        <v>0</v>
      </c>
      <c r="BA60" s="8">
        <v>0</v>
      </c>
      <c r="BB60" s="8">
        <v>0</v>
      </c>
      <c r="BC60" s="8">
        <v>0</v>
      </c>
      <c r="BD60" s="8">
        <v>0</v>
      </c>
      <c r="BE60" s="8">
        <v>0</v>
      </c>
      <c r="BF60" s="8">
        <v>0</v>
      </c>
      <c r="BG60" s="8">
        <v>0</v>
      </c>
      <c r="BH60" s="8">
        <v>0</v>
      </c>
      <c r="BI60" s="8">
        <v>0</v>
      </c>
      <c r="BJ60" s="8">
        <v>0</v>
      </c>
      <c r="BK60" s="8">
        <v>0</v>
      </c>
      <c r="BL60" s="8">
        <v>0</v>
      </c>
      <c r="BM60" s="8">
        <v>0</v>
      </c>
      <c r="BN60" s="8">
        <v>0</v>
      </c>
      <c r="BO60" s="8">
        <v>0</v>
      </c>
      <c r="BP60" s="8">
        <v>0</v>
      </c>
      <c r="BQ60" s="8">
        <v>0</v>
      </c>
      <c r="BR60" s="8">
        <v>0</v>
      </c>
      <c r="BS60" s="8">
        <v>0</v>
      </c>
      <c r="BT60" s="8">
        <v>46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8">
        <v>0</v>
      </c>
      <c r="CA60" s="8">
        <v>0</v>
      </c>
      <c r="CB60" s="48" t="s">
        <v>77</v>
      </c>
      <c r="CC60" s="8" t="s">
        <v>77</v>
      </c>
      <c r="CD60" s="8" t="s">
        <v>77</v>
      </c>
      <c r="CE60" s="8">
        <v>46</v>
      </c>
      <c r="CF60" s="8">
        <v>0</v>
      </c>
      <c r="CG60" s="8">
        <v>46</v>
      </c>
      <c r="CH60" s="8" t="s">
        <v>77</v>
      </c>
      <c r="CI60" s="8">
        <v>23</v>
      </c>
      <c r="CJ60" s="8" t="s">
        <v>77</v>
      </c>
      <c r="CK60" s="8">
        <v>69</v>
      </c>
      <c r="CL60" s="8" t="s">
        <v>77</v>
      </c>
    </row>
    <row r="63" spans="1:90" x14ac:dyDescent="0.25">
      <c r="A63" t="s">
        <v>205</v>
      </c>
    </row>
    <row r="64" spans="1:90" x14ac:dyDescent="0.25">
      <c r="CD64" s="1" t="s">
        <v>205</v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L73"/>
  <sheetViews>
    <sheetView workbookViewId="0">
      <selection activeCell="I16" sqref="I16"/>
    </sheetView>
  </sheetViews>
  <sheetFormatPr baseColWidth="10" defaultColWidth="9.109375" defaultRowHeight="13.2" x14ac:dyDescent="0.25"/>
  <cols>
    <col min="1" max="1" width="18.5546875" bestFit="1" customWidth="1"/>
  </cols>
  <sheetData>
    <row r="1" spans="1:90" ht="35.4" customHeight="1" x14ac:dyDescent="0.6">
      <c r="E1" s="91" t="s">
        <v>206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  <c r="BY1" s="92"/>
      <c r="BZ1" s="92"/>
      <c r="CA1" s="92"/>
      <c r="CB1" s="92"/>
      <c r="CC1" s="92"/>
      <c r="CD1" s="92"/>
      <c r="CE1" s="92"/>
      <c r="CF1" s="92"/>
      <c r="CG1" s="92"/>
      <c r="CH1" s="92"/>
      <c r="CI1" s="92"/>
      <c r="CJ1" s="92"/>
      <c r="CK1" s="92"/>
      <c r="CL1" s="92"/>
    </row>
    <row r="2" spans="1:90" x14ac:dyDescent="0.25">
      <c r="A2" s="94" t="s">
        <v>69</v>
      </c>
      <c r="B2" s="94"/>
      <c r="C2" s="96" t="s">
        <v>70</v>
      </c>
      <c r="D2" s="93" t="s">
        <v>71</v>
      </c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3" t="s">
        <v>72</v>
      </c>
      <c r="S2" s="92"/>
      <c r="T2" s="92"/>
      <c r="U2" s="92"/>
      <c r="V2" s="92"/>
      <c r="W2" s="92"/>
      <c r="X2" s="99" t="s">
        <v>73</v>
      </c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92"/>
      <c r="BY2" s="92"/>
      <c r="BZ2" s="92"/>
      <c r="CA2" s="92"/>
      <c r="CB2" s="99" t="s">
        <v>74</v>
      </c>
      <c r="CC2" s="92"/>
      <c r="CD2" s="92"/>
      <c r="CE2" s="92"/>
      <c r="CF2" s="92"/>
      <c r="CG2" s="92"/>
      <c r="CH2" s="92"/>
      <c r="CI2" s="92"/>
      <c r="CJ2" s="92"/>
      <c r="CK2" s="92"/>
      <c r="CL2" s="92"/>
    </row>
    <row r="3" spans="1:90" x14ac:dyDescent="0.25">
      <c r="A3" s="92"/>
      <c r="B3" s="92"/>
      <c r="C3" s="97"/>
      <c r="D3" t="s">
        <v>77</v>
      </c>
      <c r="F3" t="s">
        <v>75</v>
      </c>
      <c r="G3" t="s">
        <v>75</v>
      </c>
      <c r="H3" t="s">
        <v>75</v>
      </c>
      <c r="I3" t="s">
        <v>75</v>
      </c>
      <c r="J3" t="s">
        <v>75</v>
      </c>
      <c r="R3" t="s">
        <v>75</v>
      </c>
      <c r="S3" t="s">
        <v>75</v>
      </c>
      <c r="T3" t="s">
        <v>75</v>
      </c>
      <c r="U3" t="s">
        <v>76</v>
      </c>
      <c r="V3" t="s">
        <v>76</v>
      </c>
      <c r="W3" t="s">
        <v>76</v>
      </c>
      <c r="X3" s="41" t="s">
        <v>75</v>
      </c>
      <c r="Y3" s="1" t="s">
        <v>75</v>
      </c>
      <c r="Z3" t="s">
        <v>75</v>
      </c>
      <c r="AA3" t="s">
        <v>75</v>
      </c>
      <c r="AB3" t="s">
        <v>75</v>
      </c>
      <c r="AC3" s="1" t="s">
        <v>75</v>
      </c>
      <c r="AD3" t="s">
        <v>75</v>
      </c>
      <c r="AE3" t="s">
        <v>75</v>
      </c>
      <c r="AF3" t="s">
        <v>75</v>
      </c>
      <c r="AG3" t="s">
        <v>75</v>
      </c>
      <c r="AH3" t="s">
        <v>75</v>
      </c>
      <c r="AI3" t="s">
        <v>75</v>
      </c>
      <c r="AJ3" t="s">
        <v>75</v>
      </c>
      <c r="AK3" t="s">
        <v>75</v>
      </c>
      <c r="AL3" t="s">
        <v>75</v>
      </c>
      <c r="AM3" t="s">
        <v>75</v>
      </c>
      <c r="AN3" t="s">
        <v>75</v>
      </c>
      <c r="AO3" t="s">
        <v>75</v>
      </c>
      <c r="AP3" t="s">
        <v>75</v>
      </c>
      <c r="AQ3" s="1" t="s">
        <v>75</v>
      </c>
      <c r="AR3" s="1" t="s">
        <v>75</v>
      </c>
      <c r="AS3" s="1" t="s">
        <v>75</v>
      </c>
      <c r="AT3" s="1" t="s">
        <v>75</v>
      </c>
      <c r="AU3" s="1" t="s">
        <v>75</v>
      </c>
      <c r="AV3" s="1" t="s">
        <v>75</v>
      </c>
      <c r="AW3" s="1" t="s">
        <v>75</v>
      </c>
      <c r="AX3" s="1" t="s">
        <v>75</v>
      </c>
      <c r="AY3" s="1" t="s">
        <v>75</v>
      </c>
      <c r="AZ3" s="1" t="s">
        <v>75</v>
      </c>
      <c r="BA3" s="1" t="s">
        <v>75</v>
      </c>
      <c r="BB3" s="1"/>
      <c r="BC3" s="1"/>
      <c r="BD3" s="1"/>
      <c r="BE3" s="1" t="s">
        <v>76</v>
      </c>
      <c r="BF3" s="1" t="s">
        <v>76</v>
      </c>
      <c r="BG3" s="1" t="s">
        <v>76</v>
      </c>
      <c r="BH3" s="1" t="s">
        <v>76</v>
      </c>
      <c r="BI3" s="1" t="s">
        <v>76</v>
      </c>
      <c r="BJ3" s="1" t="s">
        <v>76</v>
      </c>
      <c r="BK3" s="1" t="s">
        <v>76</v>
      </c>
      <c r="BL3" s="1" t="s">
        <v>76</v>
      </c>
      <c r="BM3" s="1" t="s">
        <v>76</v>
      </c>
      <c r="BN3" s="1" t="s">
        <v>76</v>
      </c>
      <c r="BO3" s="1" t="s">
        <v>76</v>
      </c>
      <c r="BP3" s="1" t="s">
        <v>76</v>
      </c>
      <c r="BQ3" s="1" t="s">
        <v>76</v>
      </c>
      <c r="BR3" s="1" t="s">
        <v>76</v>
      </c>
      <c r="BS3" s="1" t="s">
        <v>76</v>
      </c>
      <c r="BT3" s="1" t="s">
        <v>76</v>
      </c>
      <c r="BU3" s="1" t="s">
        <v>76</v>
      </c>
      <c r="BV3" s="1" t="s">
        <v>76</v>
      </c>
      <c r="CB3" s="41" t="s">
        <v>77</v>
      </c>
      <c r="CC3" s="42"/>
      <c r="CD3" s="42"/>
      <c r="CE3" s="42"/>
      <c r="CF3" s="42"/>
      <c r="CG3" s="42"/>
      <c r="CH3" s="42"/>
      <c r="CI3" s="42"/>
    </row>
    <row r="4" spans="1:90" ht="227.4" customHeight="1" x14ac:dyDescent="0.25">
      <c r="A4" s="95"/>
      <c r="B4" s="95"/>
      <c r="C4" s="98"/>
      <c r="D4" s="43" t="s">
        <v>77</v>
      </c>
      <c r="E4" s="43" t="s">
        <v>77</v>
      </c>
      <c r="F4" s="43" t="s">
        <v>207</v>
      </c>
      <c r="G4" s="49" t="s">
        <v>208</v>
      </c>
      <c r="H4" s="43" t="s">
        <v>209</v>
      </c>
      <c r="I4" s="43" t="s">
        <v>210</v>
      </c>
      <c r="J4" s="43" t="s">
        <v>211</v>
      </c>
      <c r="L4" s="43" t="s">
        <v>77</v>
      </c>
      <c r="M4" s="43" t="s">
        <v>77</v>
      </c>
      <c r="N4" s="43" t="s">
        <v>77</v>
      </c>
      <c r="O4" s="43" t="s">
        <v>77</v>
      </c>
      <c r="P4" s="43" t="s">
        <v>77</v>
      </c>
      <c r="R4" s="43" t="s">
        <v>212</v>
      </c>
      <c r="S4" s="43" t="s">
        <v>213</v>
      </c>
      <c r="T4" s="43" t="s">
        <v>214</v>
      </c>
      <c r="U4" s="43" t="s">
        <v>215</v>
      </c>
      <c r="V4" s="43" t="s">
        <v>216</v>
      </c>
      <c r="W4" s="43" t="s">
        <v>217</v>
      </c>
      <c r="X4" s="44" t="s">
        <v>218</v>
      </c>
      <c r="Y4" s="45" t="s">
        <v>219</v>
      </c>
      <c r="Z4" s="45" t="s">
        <v>220</v>
      </c>
      <c r="AA4" s="45" t="s">
        <v>221</v>
      </c>
      <c r="AB4" s="45" t="s">
        <v>222</v>
      </c>
      <c r="AC4" s="45" t="s">
        <v>223</v>
      </c>
      <c r="AD4" s="45" t="s">
        <v>224</v>
      </c>
      <c r="AE4" s="45" t="s">
        <v>225</v>
      </c>
      <c r="AF4" s="45" t="s">
        <v>226</v>
      </c>
      <c r="AG4" s="45" t="s">
        <v>227</v>
      </c>
      <c r="AH4" s="45" t="s">
        <v>228</v>
      </c>
      <c r="AI4" s="45" t="s">
        <v>229</v>
      </c>
      <c r="AJ4" s="45" t="s">
        <v>230</v>
      </c>
      <c r="AK4" s="45" t="s">
        <v>231</v>
      </c>
      <c r="AL4" s="45" t="s">
        <v>232</v>
      </c>
      <c r="AM4" s="45" t="s">
        <v>233</v>
      </c>
      <c r="AN4" s="45" t="s">
        <v>234</v>
      </c>
      <c r="AO4" s="50" t="s">
        <v>235</v>
      </c>
      <c r="AP4" s="45" t="s">
        <v>236</v>
      </c>
      <c r="AQ4" s="45" t="s">
        <v>237</v>
      </c>
      <c r="AR4" s="45" t="s">
        <v>238</v>
      </c>
      <c r="AS4" s="45" t="s">
        <v>239</v>
      </c>
      <c r="AT4" s="45" t="s">
        <v>240</v>
      </c>
      <c r="AU4" s="45" t="s">
        <v>241</v>
      </c>
      <c r="AV4" s="45" t="s">
        <v>242</v>
      </c>
      <c r="AW4" s="45" t="s">
        <v>243</v>
      </c>
      <c r="AX4" s="45" t="s">
        <v>244</v>
      </c>
      <c r="AY4" s="45" t="s">
        <v>245</v>
      </c>
      <c r="AZ4" s="45" t="s">
        <v>246</v>
      </c>
      <c r="BA4" s="45" t="s">
        <v>247</v>
      </c>
      <c r="BB4" s="45"/>
      <c r="BC4" s="45"/>
      <c r="BD4" s="45"/>
      <c r="BE4" s="45" t="s">
        <v>248</v>
      </c>
      <c r="BF4" s="45" t="s">
        <v>249</v>
      </c>
      <c r="BG4" s="45" t="s">
        <v>250</v>
      </c>
      <c r="BH4" s="45" t="s">
        <v>251</v>
      </c>
      <c r="BI4" s="45" t="s">
        <v>252</v>
      </c>
      <c r="BJ4" s="45" t="s">
        <v>253</v>
      </c>
      <c r="BK4" s="45" t="s">
        <v>254</v>
      </c>
      <c r="BL4" s="45" t="s">
        <v>255</v>
      </c>
      <c r="BM4" s="45" t="s">
        <v>256</v>
      </c>
      <c r="BN4" s="45" t="s">
        <v>257</v>
      </c>
      <c r="BO4" s="45" t="s">
        <v>258</v>
      </c>
      <c r="BP4" s="45" t="s">
        <v>259</v>
      </c>
      <c r="BQ4" s="45" t="s">
        <v>260</v>
      </c>
      <c r="BR4" s="45" t="s">
        <v>261</v>
      </c>
      <c r="BS4" s="45" t="s">
        <v>262</v>
      </c>
      <c r="BT4" s="45" t="s">
        <v>263</v>
      </c>
      <c r="BU4" s="45" t="s">
        <v>264</v>
      </c>
      <c r="BV4" s="45" t="s">
        <v>247</v>
      </c>
      <c r="BW4" s="42"/>
      <c r="BX4" s="42"/>
      <c r="BY4" s="42"/>
      <c r="BZ4" s="42"/>
      <c r="CA4" s="43" t="s">
        <v>77</v>
      </c>
      <c r="CB4" s="46" t="s">
        <v>137</v>
      </c>
      <c r="CC4" s="43" t="s">
        <v>138</v>
      </c>
      <c r="CD4" s="43" t="s">
        <v>139</v>
      </c>
      <c r="CE4" s="43" t="s">
        <v>140</v>
      </c>
      <c r="CF4" s="43" t="s">
        <v>141</v>
      </c>
      <c r="CG4" s="43" t="s">
        <v>142</v>
      </c>
      <c r="CH4" s="43" t="s">
        <v>143</v>
      </c>
      <c r="CI4" s="43" t="s">
        <v>144</v>
      </c>
      <c r="CJ4" s="43" t="s">
        <v>145</v>
      </c>
      <c r="CK4" s="43" t="s">
        <v>146</v>
      </c>
      <c r="CL4" s="43" t="s">
        <v>147</v>
      </c>
    </row>
    <row r="5" spans="1:90" x14ac:dyDescent="0.25">
      <c r="A5" t="s">
        <v>148</v>
      </c>
      <c r="B5" t="s">
        <v>149</v>
      </c>
      <c r="C5">
        <v>131</v>
      </c>
      <c r="X5" s="41" t="s">
        <v>77</v>
      </c>
      <c r="CB5" s="41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131</v>
      </c>
    </row>
    <row r="6" spans="1:90" x14ac:dyDescent="0.25">
      <c r="A6" t="s">
        <v>265</v>
      </c>
      <c r="H6">
        <v>0</v>
      </c>
      <c r="U6">
        <v>0</v>
      </c>
      <c r="X6" s="41" t="s">
        <v>77</v>
      </c>
      <c r="BE6">
        <v>0</v>
      </c>
      <c r="BF6">
        <v>0</v>
      </c>
      <c r="BG6">
        <v>0</v>
      </c>
      <c r="BL6">
        <v>1</v>
      </c>
      <c r="BN6">
        <v>0</v>
      </c>
      <c r="BO6">
        <v>0</v>
      </c>
      <c r="CB6" s="41">
        <v>0</v>
      </c>
      <c r="CC6">
        <v>6</v>
      </c>
      <c r="CD6">
        <v>6</v>
      </c>
      <c r="CE6">
        <v>0</v>
      </c>
      <c r="CF6">
        <v>1</v>
      </c>
      <c r="CG6">
        <v>1</v>
      </c>
      <c r="CH6">
        <v>2</v>
      </c>
      <c r="CI6">
        <v>0</v>
      </c>
      <c r="CJ6">
        <v>8</v>
      </c>
      <c r="CK6">
        <v>1</v>
      </c>
      <c r="CL6">
        <v>8</v>
      </c>
    </row>
    <row r="7" spans="1:90" x14ac:dyDescent="0.25">
      <c r="A7" t="s">
        <v>266</v>
      </c>
      <c r="B7" t="s">
        <v>151</v>
      </c>
      <c r="C7">
        <v>379</v>
      </c>
      <c r="X7" s="41" t="s">
        <v>77</v>
      </c>
      <c r="CB7" s="41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379</v>
      </c>
    </row>
    <row r="8" spans="1:90" x14ac:dyDescent="0.25">
      <c r="A8" t="s">
        <v>152</v>
      </c>
      <c r="B8" t="s">
        <v>149</v>
      </c>
      <c r="C8">
        <v>75</v>
      </c>
      <c r="U8">
        <v>0</v>
      </c>
      <c r="X8" s="41" t="s">
        <v>77</v>
      </c>
      <c r="BE8">
        <v>0</v>
      </c>
      <c r="BF8">
        <v>0</v>
      </c>
      <c r="CB8" s="41">
        <v>0</v>
      </c>
      <c r="CC8">
        <v>2</v>
      </c>
      <c r="CD8">
        <v>2</v>
      </c>
      <c r="CE8">
        <v>0</v>
      </c>
      <c r="CF8">
        <v>0</v>
      </c>
      <c r="CG8">
        <v>0</v>
      </c>
      <c r="CH8">
        <v>1</v>
      </c>
      <c r="CI8">
        <v>0</v>
      </c>
      <c r="CJ8">
        <v>3</v>
      </c>
      <c r="CK8">
        <v>0</v>
      </c>
      <c r="CL8">
        <v>78</v>
      </c>
    </row>
    <row r="9" spans="1:90" x14ac:dyDescent="0.25">
      <c r="A9" t="s">
        <v>153</v>
      </c>
      <c r="B9" t="s">
        <v>149</v>
      </c>
      <c r="C9">
        <v>60</v>
      </c>
      <c r="X9" s="41" t="s">
        <v>77</v>
      </c>
      <c r="CB9" s="41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60</v>
      </c>
    </row>
    <row r="10" spans="1:90" x14ac:dyDescent="0.25">
      <c r="A10" t="s">
        <v>154</v>
      </c>
      <c r="B10" t="s">
        <v>149</v>
      </c>
      <c r="C10">
        <v>63</v>
      </c>
      <c r="X10" s="41" t="s">
        <v>77</v>
      </c>
      <c r="BL10">
        <v>0</v>
      </c>
      <c r="CB10" s="41">
        <v>0</v>
      </c>
      <c r="CC10">
        <v>1</v>
      </c>
      <c r="CD10">
        <v>1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1</v>
      </c>
      <c r="CK10">
        <v>0</v>
      </c>
      <c r="CL10">
        <v>64</v>
      </c>
    </row>
    <row r="11" spans="1:90" x14ac:dyDescent="0.25">
      <c r="A11" t="s">
        <v>20</v>
      </c>
      <c r="F11">
        <v>0</v>
      </c>
      <c r="H11">
        <v>0</v>
      </c>
      <c r="J11">
        <v>0</v>
      </c>
      <c r="R11">
        <v>0</v>
      </c>
      <c r="S11">
        <v>0</v>
      </c>
      <c r="T11">
        <v>0</v>
      </c>
      <c r="X11" s="41" t="s">
        <v>77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N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CB11" s="41">
        <v>21</v>
      </c>
      <c r="CC11">
        <v>0</v>
      </c>
      <c r="CD11">
        <v>21</v>
      </c>
      <c r="CE11">
        <v>0</v>
      </c>
      <c r="CF11">
        <v>0</v>
      </c>
      <c r="CG11">
        <v>0</v>
      </c>
      <c r="CH11">
        <v>6</v>
      </c>
      <c r="CI11">
        <v>0</v>
      </c>
      <c r="CJ11">
        <v>27</v>
      </c>
      <c r="CK11">
        <v>0</v>
      </c>
      <c r="CL11">
        <v>27</v>
      </c>
    </row>
    <row r="12" spans="1:90" x14ac:dyDescent="0.25">
      <c r="A12" t="s">
        <v>155</v>
      </c>
      <c r="B12" t="s">
        <v>149</v>
      </c>
      <c r="C12">
        <v>41</v>
      </c>
      <c r="F12">
        <v>0</v>
      </c>
      <c r="I12">
        <v>0</v>
      </c>
      <c r="R12">
        <v>0</v>
      </c>
      <c r="S12">
        <v>0</v>
      </c>
      <c r="T12">
        <v>0</v>
      </c>
      <c r="X12" s="41" t="s">
        <v>77</v>
      </c>
      <c r="AA12">
        <v>0</v>
      </c>
      <c r="AI12">
        <v>0</v>
      </c>
      <c r="AJ12">
        <v>0</v>
      </c>
      <c r="AK12">
        <v>0</v>
      </c>
      <c r="AL12">
        <v>0</v>
      </c>
      <c r="AN12">
        <v>0</v>
      </c>
      <c r="AP12">
        <v>0</v>
      </c>
      <c r="AQ12">
        <v>0</v>
      </c>
      <c r="AR12">
        <v>0</v>
      </c>
      <c r="BG12">
        <v>0</v>
      </c>
      <c r="BH12">
        <v>0</v>
      </c>
      <c r="BI12">
        <v>0</v>
      </c>
      <c r="BQ12">
        <v>0</v>
      </c>
      <c r="CB12" s="41">
        <v>9</v>
      </c>
      <c r="CC12">
        <v>4</v>
      </c>
      <c r="CD12">
        <v>13</v>
      </c>
      <c r="CE12">
        <v>0</v>
      </c>
      <c r="CF12">
        <v>0</v>
      </c>
      <c r="CG12">
        <v>0</v>
      </c>
      <c r="CH12">
        <v>5</v>
      </c>
      <c r="CI12">
        <v>0</v>
      </c>
      <c r="CJ12">
        <v>18</v>
      </c>
      <c r="CK12">
        <v>0</v>
      </c>
      <c r="CL12">
        <v>59</v>
      </c>
    </row>
    <row r="13" spans="1:90" x14ac:dyDescent="0.25">
      <c r="A13" t="s">
        <v>156</v>
      </c>
      <c r="B13" t="s">
        <v>149</v>
      </c>
      <c r="C13">
        <v>151</v>
      </c>
      <c r="F13">
        <v>0</v>
      </c>
      <c r="H13">
        <v>0</v>
      </c>
      <c r="I13">
        <v>0</v>
      </c>
      <c r="J13">
        <v>1</v>
      </c>
      <c r="R13">
        <v>1</v>
      </c>
      <c r="T13">
        <v>1</v>
      </c>
      <c r="V13">
        <v>0</v>
      </c>
      <c r="W13">
        <v>0</v>
      </c>
      <c r="X13" s="41" t="s">
        <v>77</v>
      </c>
      <c r="Y13">
        <v>0</v>
      </c>
      <c r="Z13">
        <v>0</v>
      </c>
      <c r="AA13">
        <v>0</v>
      </c>
      <c r="AD13">
        <v>0</v>
      </c>
      <c r="AF13">
        <v>0</v>
      </c>
      <c r="AH13">
        <v>0</v>
      </c>
      <c r="AI13">
        <v>0</v>
      </c>
      <c r="AJ13">
        <v>0</v>
      </c>
      <c r="AK13">
        <v>0</v>
      </c>
      <c r="AN13">
        <v>0</v>
      </c>
      <c r="AP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BE13">
        <v>0</v>
      </c>
      <c r="BF13">
        <v>0</v>
      </c>
      <c r="BH13">
        <v>2</v>
      </c>
      <c r="CB13" s="41">
        <v>16</v>
      </c>
      <c r="CC13">
        <v>3</v>
      </c>
      <c r="CD13">
        <v>19</v>
      </c>
      <c r="CE13">
        <v>0</v>
      </c>
      <c r="CF13">
        <v>2</v>
      </c>
      <c r="CG13">
        <v>2</v>
      </c>
      <c r="CH13">
        <v>8</v>
      </c>
      <c r="CI13">
        <v>3</v>
      </c>
      <c r="CJ13">
        <v>27</v>
      </c>
      <c r="CK13">
        <v>5</v>
      </c>
      <c r="CL13">
        <v>178</v>
      </c>
    </row>
    <row r="14" spans="1:90" x14ac:dyDescent="0.25">
      <c r="A14" t="s">
        <v>157</v>
      </c>
      <c r="B14" t="s">
        <v>151</v>
      </c>
      <c r="C14">
        <v>10</v>
      </c>
      <c r="H14">
        <v>0</v>
      </c>
      <c r="X14" s="41" t="s">
        <v>77</v>
      </c>
      <c r="BE14">
        <v>0</v>
      </c>
      <c r="BG14">
        <v>0</v>
      </c>
      <c r="CB14" s="41">
        <v>0</v>
      </c>
      <c r="CC14">
        <v>2</v>
      </c>
      <c r="CD14">
        <v>2</v>
      </c>
      <c r="CE14">
        <v>0</v>
      </c>
      <c r="CF14">
        <v>0</v>
      </c>
      <c r="CG14">
        <v>0</v>
      </c>
      <c r="CH14">
        <v>1</v>
      </c>
      <c r="CI14">
        <v>0</v>
      </c>
      <c r="CJ14">
        <v>3</v>
      </c>
      <c r="CK14">
        <v>0</v>
      </c>
      <c r="CL14">
        <v>13</v>
      </c>
    </row>
    <row r="15" spans="1:90" x14ac:dyDescent="0.25">
      <c r="A15" t="s">
        <v>267</v>
      </c>
      <c r="U15">
        <v>0</v>
      </c>
      <c r="V15">
        <v>0</v>
      </c>
      <c r="W15">
        <v>0</v>
      </c>
      <c r="X15" s="41" t="s">
        <v>77</v>
      </c>
      <c r="BE15">
        <v>0</v>
      </c>
      <c r="BF15">
        <v>0</v>
      </c>
      <c r="BG15">
        <v>0</v>
      </c>
      <c r="BI15">
        <v>0</v>
      </c>
      <c r="BJ15">
        <v>0</v>
      </c>
      <c r="BL15">
        <v>0</v>
      </c>
      <c r="BM15">
        <v>0</v>
      </c>
      <c r="BO15">
        <v>0</v>
      </c>
      <c r="BP15">
        <v>0</v>
      </c>
      <c r="BQ15">
        <v>0</v>
      </c>
      <c r="CB15" s="41">
        <v>0</v>
      </c>
      <c r="CC15">
        <v>10</v>
      </c>
      <c r="CD15">
        <v>10</v>
      </c>
      <c r="CE15">
        <v>0</v>
      </c>
      <c r="CF15">
        <v>0</v>
      </c>
      <c r="CG15">
        <v>0</v>
      </c>
      <c r="CH15">
        <v>3</v>
      </c>
      <c r="CI15">
        <v>0</v>
      </c>
      <c r="CJ15">
        <v>13</v>
      </c>
      <c r="CK15">
        <v>0</v>
      </c>
      <c r="CL15">
        <v>13</v>
      </c>
    </row>
    <row r="16" spans="1:90" x14ac:dyDescent="0.25">
      <c r="A16" t="s">
        <v>158</v>
      </c>
      <c r="B16" t="s">
        <v>151</v>
      </c>
      <c r="C16">
        <v>206</v>
      </c>
      <c r="U16">
        <v>0</v>
      </c>
      <c r="W16">
        <v>0</v>
      </c>
      <c r="X16" s="41" t="s">
        <v>77</v>
      </c>
      <c r="BE16">
        <v>0</v>
      </c>
      <c r="BF16">
        <v>0</v>
      </c>
      <c r="BH16">
        <v>0</v>
      </c>
      <c r="BJ16">
        <v>0</v>
      </c>
      <c r="BK16">
        <v>0</v>
      </c>
      <c r="BM16">
        <v>0</v>
      </c>
      <c r="BO16">
        <v>0</v>
      </c>
      <c r="BP16">
        <v>0</v>
      </c>
      <c r="CB16" s="41">
        <v>0</v>
      </c>
      <c r="CC16">
        <v>8</v>
      </c>
      <c r="CD16">
        <v>8</v>
      </c>
      <c r="CE16">
        <v>0</v>
      </c>
      <c r="CF16">
        <v>0</v>
      </c>
      <c r="CG16">
        <v>0</v>
      </c>
      <c r="CH16">
        <v>2</v>
      </c>
      <c r="CI16">
        <v>0</v>
      </c>
      <c r="CJ16">
        <v>10</v>
      </c>
      <c r="CK16">
        <v>0</v>
      </c>
      <c r="CL16">
        <v>216</v>
      </c>
    </row>
    <row r="17" spans="1:90" x14ac:dyDescent="0.25">
      <c r="A17" t="s">
        <v>268</v>
      </c>
      <c r="S17">
        <v>0</v>
      </c>
      <c r="W17">
        <v>0</v>
      </c>
      <c r="X17" s="41" t="s">
        <v>77</v>
      </c>
      <c r="AH17">
        <v>0</v>
      </c>
      <c r="AI17">
        <v>0</v>
      </c>
      <c r="AK17">
        <v>0</v>
      </c>
      <c r="AN17">
        <v>0</v>
      </c>
      <c r="BE17">
        <v>0</v>
      </c>
      <c r="BF17">
        <v>0</v>
      </c>
      <c r="BG17">
        <v>0</v>
      </c>
      <c r="BH17">
        <v>0</v>
      </c>
      <c r="BJ17">
        <v>0</v>
      </c>
      <c r="BK17">
        <v>0</v>
      </c>
      <c r="BM17">
        <v>0</v>
      </c>
      <c r="BN17">
        <v>0</v>
      </c>
      <c r="BO17">
        <v>0</v>
      </c>
      <c r="BQ17">
        <v>0</v>
      </c>
      <c r="CB17" s="41">
        <v>4</v>
      </c>
      <c r="CC17">
        <v>10</v>
      </c>
      <c r="CD17">
        <v>14</v>
      </c>
      <c r="CE17">
        <v>0</v>
      </c>
      <c r="CF17">
        <v>0</v>
      </c>
      <c r="CG17">
        <v>0</v>
      </c>
      <c r="CH17">
        <v>2</v>
      </c>
      <c r="CI17">
        <v>0</v>
      </c>
      <c r="CJ17">
        <v>16</v>
      </c>
      <c r="CK17">
        <v>0</v>
      </c>
      <c r="CL17">
        <v>16</v>
      </c>
    </row>
    <row r="18" spans="1:90" x14ac:dyDescent="0.25">
      <c r="A18" t="s">
        <v>159</v>
      </c>
      <c r="B18" t="s">
        <v>151</v>
      </c>
      <c r="C18">
        <v>21</v>
      </c>
      <c r="J18">
        <v>0</v>
      </c>
      <c r="R18">
        <v>0</v>
      </c>
      <c r="T18">
        <v>0</v>
      </c>
      <c r="V18">
        <v>0</v>
      </c>
      <c r="X18" s="41" t="s">
        <v>77</v>
      </c>
      <c r="Y18">
        <v>0</v>
      </c>
      <c r="Z18">
        <v>0</v>
      </c>
      <c r="AA18">
        <v>0</v>
      </c>
      <c r="AB18">
        <v>0</v>
      </c>
      <c r="AC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</v>
      </c>
      <c r="AN18">
        <v>1</v>
      </c>
      <c r="AP18">
        <v>0</v>
      </c>
      <c r="AQ18">
        <v>1</v>
      </c>
      <c r="AR18">
        <v>0</v>
      </c>
      <c r="AS18">
        <v>0</v>
      </c>
      <c r="AU18">
        <v>0</v>
      </c>
      <c r="AV18">
        <v>0</v>
      </c>
      <c r="CB18" s="41">
        <v>20</v>
      </c>
      <c r="CC18">
        <v>0</v>
      </c>
      <c r="CD18">
        <v>20</v>
      </c>
      <c r="CE18">
        <v>3</v>
      </c>
      <c r="CF18">
        <v>0</v>
      </c>
      <c r="CG18">
        <v>3</v>
      </c>
      <c r="CH18">
        <v>4</v>
      </c>
      <c r="CI18">
        <v>0</v>
      </c>
      <c r="CJ18">
        <v>24</v>
      </c>
      <c r="CK18">
        <v>3</v>
      </c>
      <c r="CL18">
        <v>45</v>
      </c>
    </row>
    <row r="19" spans="1:90" x14ac:dyDescent="0.25">
      <c r="A19" t="s">
        <v>160</v>
      </c>
      <c r="B19" t="s">
        <v>151</v>
      </c>
      <c r="C19">
        <v>373</v>
      </c>
      <c r="H19">
        <v>0</v>
      </c>
      <c r="X19" s="41" t="s">
        <v>77</v>
      </c>
      <c r="BG19">
        <v>0</v>
      </c>
      <c r="BI19">
        <v>0</v>
      </c>
      <c r="BL19">
        <v>0</v>
      </c>
      <c r="BN19">
        <v>0</v>
      </c>
      <c r="CB19" s="41">
        <v>0</v>
      </c>
      <c r="CC19">
        <v>4</v>
      </c>
      <c r="CD19">
        <v>4</v>
      </c>
      <c r="CE19">
        <v>0</v>
      </c>
      <c r="CF19">
        <v>0</v>
      </c>
      <c r="CG19">
        <v>0</v>
      </c>
      <c r="CH19">
        <v>1</v>
      </c>
      <c r="CI19">
        <v>0</v>
      </c>
      <c r="CJ19">
        <v>5</v>
      </c>
      <c r="CK19">
        <v>0</v>
      </c>
      <c r="CL19">
        <v>378</v>
      </c>
    </row>
    <row r="20" spans="1:90" x14ac:dyDescent="0.25">
      <c r="A20" t="s">
        <v>161</v>
      </c>
      <c r="B20" t="s">
        <v>151</v>
      </c>
      <c r="C20">
        <v>164</v>
      </c>
      <c r="H20">
        <v>0</v>
      </c>
      <c r="I20">
        <v>0</v>
      </c>
      <c r="S20">
        <v>0</v>
      </c>
      <c r="T20">
        <v>0</v>
      </c>
      <c r="X20" s="41" t="s">
        <v>77</v>
      </c>
      <c r="Y20">
        <v>0</v>
      </c>
      <c r="AC20">
        <v>0</v>
      </c>
      <c r="AD20">
        <v>0</v>
      </c>
      <c r="AF20">
        <v>0</v>
      </c>
      <c r="AG20">
        <v>0</v>
      </c>
      <c r="AI20">
        <v>1</v>
      </c>
      <c r="AJ20">
        <v>0</v>
      </c>
      <c r="AL20">
        <v>0</v>
      </c>
      <c r="AN20">
        <v>0</v>
      </c>
      <c r="AP20">
        <v>0</v>
      </c>
      <c r="AQ20">
        <v>0</v>
      </c>
      <c r="AS20">
        <v>0</v>
      </c>
      <c r="AT20">
        <v>0</v>
      </c>
      <c r="AU20">
        <v>0</v>
      </c>
      <c r="AV20">
        <v>0</v>
      </c>
      <c r="CB20" s="41">
        <v>15</v>
      </c>
      <c r="CC20">
        <v>0</v>
      </c>
      <c r="CD20">
        <v>15</v>
      </c>
      <c r="CE20">
        <v>1</v>
      </c>
      <c r="CF20">
        <v>0</v>
      </c>
      <c r="CG20">
        <v>1</v>
      </c>
      <c r="CH20">
        <v>4</v>
      </c>
      <c r="CI20">
        <v>0</v>
      </c>
      <c r="CJ20">
        <v>19</v>
      </c>
      <c r="CK20">
        <v>1</v>
      </c>
      <c r="CL20">
        <v>183</v>
      </c>
    </row>
    <row r="21" spans="1:90" x14ac:dyDescent="0.25">
      <c r="A21" t="s">
        <v>162</v>
      </c>
      <c r="B21" t="s">
        <v>151</v>
      </c>
      <c r="C21">
        <v>167</v>
      </c>
      <c r="X21" s="41" t="s">
        <v>77</v>
      </c>
      <c r="CB21" s="4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167</v>
      </c>
    </row>
    <row r="22" spans="1:90" x14ac:dyDescent="0.25">
      <c r="A22" t="s">
        <v>269</v>
      </c>
      <c r="V22">
        <v>0</v>
      </c>
      <c r="X22" s="41" t="s">
        <v>77</v>
      </c>
      <c r="BE22">
        <v>0</v>
      </c>
      <c r="BH22">
        <v>0</v>
      </c>
      <c r="BI22">
        <v>0</v>
      </c>
      <c r="BK22">
        <v>0</v>
      </c>
      <c r="CB22" s="41">
        <v>0</v>
      </c>
      <c r="CC22">
        <v>4</v>
      </c>
      <c r="CD22">
        <v>4</v>
      </c>
      <c r="CE22">
        <v>0</v>
      </c>
      <c r="CF22">
        <v>0</v>
      </c>
      <c r="CG22">
        <v>0</v>
      </c>
      <c r="CH22">
        <v>1</v>
      </c>
      <c r="CI22">
        <v>0</v>
      </c>
      <c r="CJ22">
        <v>5</v>
      </c>
      <c r="CK22">
        <v>0</v>
      </c>
      <c r="CL22">
        <v>5</v>
      </c>
    </row>
    <row r="23" spans="1:90" x14ac:dyDescent="0.25">
      <c r="A23" t="s">
        <v>270</v>
      </c>
      <c r="H23">
        <v>0</v>
      </c>
      <c r="J23">
        <v>0</v>
      </c>
      <c r="S23">
        <v>0</v>
      </c>
      <c r="U23">
        <v>0</v>
      </c>
      <c r="V23">
        <v>0</v>
      </c>
      <c r="W23">
        <v>0</v>
      </c>
      <c r="X23" s="41" t="s">
        <v>77</v>
      </c>
      <c r="BE23">
        <v>0</v>
      </c>
      <c r="BG23">
        <v>0</v>
      </c>
      <c r="BH23">
        <v>0</v>
      </c>
      <c r="BK23">
        <v>0</v>
      </c>
      <c r="BQ23">
        <v>0</v>
      </c>
      <c r="CB23" s="41">
        <v>0</v>
      </c>
      <c r="CC23">
        <v>5</v>
      </c>
      <c r="CD23">
        <v>5</v>
      </c>
      <c r="CE23">
        <v>0</v>
      </c>
      <c r="CF23">
        <v>0</v>
      </c>
      <c r="CG23">
        <v>0</v>
      </c>
      <c r="CH23">
        <v>6</v>
      </c>
      <c r="CI23">
        <v>0</v>
      </c>
      <c r="CJ23">
        <v>11</v>
      </c>
      <c r="CK23">
        <v>0</v>
      </c>
      <c r="CL23">
        <v>11</v>
      </c>
    </row>
    <row r="24" spans="1:90" x14ac:dyDescent="0.25">
      <c r="A24" t="s">
        <v>163</v>
      </c>
      <c r="B24" t="s">
        <v>151</v>
      </c>
      <c r="C24">
        <v>380</v>
      </c>
      <c r="X24" s="41" t="s">
        <v>77</v>
      </c>
      <c r="AH24">
        <v>0</v>
      </c>
      <c r="BK24">
        <v>0</v>
      </c>
      <c r="CB24" s="41">
        <v>1</v>
      </c>
      <c r="CC24">
        <v>1</v>
      </c>
      <c r="CD24">
        <v>2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2</v>
      </c>
      <c r="CK24">
        <v>0</v>
      </c>
      <c r="CL24">
        <v>382</v>
      </c>
    </row>
    <row r="25" spans="1:90" x14ac:dyDescent="0.25">
      <c r="A25" t="s">
        <v>164</v>
      </c>
      <c r="B25" t="s">
        <v>151</v>
      </c>
      <c r="C25">
        <v>27</v>
      </c>
      <c r="X25" s="41" t="s">
        <v>77</v>
      </c>
      <c r="BH25">
        <v>0</v>
      </c>
      <c r="BO25">
        <v>0</v>
      </c>
      <c r="BP25">
        <v>0</v>
      </c>
      <c r="CB25" s="41">
        <v>0</v>
      </c>
      <c r="CC25">
        <v>3</v>
      </c>
      <c r="CD25">
        <v>3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3</v>
      </c>
      <c r="CK25">
        <v>0</v>
      </c>
      <c r="CL25">
        <v>30</v>
      </c>
    </row>
    <row r="26" spans="1:90" x14ac:dyDescent="0.25">
      <c r="A26" t="s">
        <v>165</v>
      </c>
      <c r="B26" t="s">
        <v>149</v>
      </c>
      <c r="C26">
        <v>86</v>
      </c>
      <c r="F26">
        <v>0</v>
      </c>
      <c r="H26">
        <v>0</v>
      </c>
      <c r="I26">
        <v>0</v>
      </c>
      <c r="J26">
        <v>0</v>
      </c>
      <c r="R26">
        <v>0</v>
      </c>
      <c r="T26">
        <v>0</v>
      </c>
      <c r="X26" s="41" t="s">
        <v>77</v>
      </c>
      <c r="Y26">
        <v>0</v>
      </c>
      <c r="Z26">
        <v>0</v>
      </c>
      <c r="AA26">
        <v>0</v>
      </c>
      <c r="AB26">
        <v>0</v>
      </c>
      <c r="AI26">
        <v>0</v>
      </c>
      <c r="AJ26">
        <v>0</v>
      </c>
      <c r="AK26">
        <v>0</v>
      </c>
      <c r="AL26">
        <v>0</v>
      </c>
      <c r="AN26">
        <v>0</v>
      </c>
      <c r="AP26">
        <v>1</v>
      </c>
      <c r="AQ26">
        <v>0</v>
      </c>
      <c r="AS26">
        <v>0</v>
      </c>
      <c r="AT26">
        <v>0</v>
      </c>
      <c r="BI26">
        <v>0</v>
      </c>
      <c r="CB26" s="41">
        <v>13</v>
      </c>
      <c r="CC26">
        <v>1</v>
      </c>
      <c r="CD26">
        <v>14</v>
      </c>
      <c r="CE26">
        <v>1</v>
      </c>
      <c r="CF26">
        <v>0</v>
      </c>
      <c r="CG26">
        <v>1</v>
      </c>
      <c r="CH26">
        <v>6</v>
      </c>
      <c r="CI26">
        <v>0</v>
      </c>
      <c r="CJ26">
        <v>20</v>
      </c>
      <c r="CK26">
        <v>1</v>
      </c>
      <c r="CL26">
        <v>106</v>
      </c>
    </row>
    <row r="27" spans="1:90" x14ac:dyDescent="0.25">
      <c r="A27" t="s">
        <v>166</v>
      </c>
      <c r="B27" t="s">
        <v>151</v>
      </c>
      <c r="C27">
        <v>16</v>
      </c>
      <c r="X27" s="41" t="s">
        <v>77</v>
      </c>
      <c r="CB27" s="41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16</v>
      </c>
    </row>
    <row r="28" spans="1:90" x14ac:dyDescent="0.25">
      <c r="A28" t="s">
        <v>167</v>
      </c>
      <c r="B28" t="s">
        <v>151</v>
      </c>
      <c r="C28">
        <v>3</v>
      </c>
      <c r="X28" s="41" t="s">
        <v>77</v>
      </c>
      <c r="CB28" s="41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3</v>
      </c>
    </row>
    <row r="29" spans="1:90" x14ac:dyDescent="0.25">
      <c r="A29" t="s">
        <v>168</v>
      </c>
      <c r="B29" t="s">
        <v>151</v>
      </c>
      <c r="C29">
        <v>74</v>
      </c>
      <c r="F29">
        <v>0</v>
      </c>
      <c r="I29">
        <v>0</v>
      </c>
      <c r="J29">
        <v>0</v>
      </c>
      <c r="R29">
        <v>0</v>
      </c>
      <c r="T29">
        <v>0</v>
      </c>
      <c r="V29">
        <v>3</v>
      </c>
      <c r="W29">
        <v>1</v>
      </c>
      <c r="X29" s="41" t="s">
        <v>77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S29">
        <v>0</v>
      </c>
      <c r="AT29">
        <v>0</v>
      </c>
      <c r="AU29">
        <v>0</v>
      </c>
      <c r="AV29">
        <v>0</v>
      </c>
      <c r="BJ29">
        <v>1</v>
      </c>
      <c r="BL29">
        <v>0</v>
      </c>
      <c r="BM29">
        <v>2</v>
      </c>
      <c r="BO29">
        <v>0</v>
      </c>
      <c r="BP29">
        <v>0</v>
      </c>
      <c r="CB29" s="41">
        <v>14</v>
      </c>
      <c r="CC29">
        <v>5</v>
      </c>
      <c r="CD29">
        <v>19</v>
      </c>
      <c r="CE29">
        <v>0</v>
      </c>
      <c r="CF29">
        <v>3</v>
      </c>
      <c r="CG29">
        <v>3</v>
      </c>
      <c r="CH29">
        <v>7</v>
      </c>
      <c r="CI29">
        <v>4</v>
      </c>
      <c r="CJ29">
        <v>26</v>
      </c>
      <c r="CK29">
        <v>7</v>
      </c>
      <c r="CL29">
        <v>100</v>
      </c>
    </row>
    <row r="30" spans="1:90" x14ac:dyDescent="0.25">
      <c r="A30" t="s">
        <v>169</v>
      </c>
      <c r="B30" t="s">
        <v>151</v>
      </c>
      <c r="C30">
        <v>243</v>
      </c>
      <c r="X30" s="41" t="s">
        <v>77</v>
      </c>
      <c r="CB30" s="41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243</v>
      </c>
    </row>
    <row r="31" spans="1:90" x14ac:dyDescent="0.25">
      <c r="A31" t="s">
        <v>170</v>
      </c>
      <c r="B31" t="s">
        <v>151</v>
      </c>
      <c r="C31">
        <v>336</v>
      </c>
      <c r="X31" s="41" t="s">
        <v>77</v>
      </c>
      <c r="CB31" s="4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336</v>
      </c>
    </row>
    <row r="32" spans="1:90" x14ac:dyDescent="0.25">
      <c r="A32" t="s">
        <v>171</v>
      </c>
      <c r="B32" t="s">
        <v>151</v>
      </c>
      <c r="C32">
        <v>274</v>
      </c>
      <c r="X32" s="41" t="s">
        <v>77</v>
      </c>
      <c r="CB32" s="41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274</v>
      </c>
    </row>
    <row r="33" spans="1:90" x14ac:dyDescent="0.25">
      <c r="A33" t="s">
        <v>172</v>
      </c>
      <c r="B33" t="s">
        <v>151</v>
      </c>
      <c r="C33">
        <v>442</v>
      </c>
      <c r="H33">
        <v>0</v>
      </c>
      <c r="U33">
        <v>1</v>
      </c>
      <c r="X33" s="41" t="s">
        <v>77</v>
      </c>
      <c r="BE33">
        <v>3</v>
      </c>
      <c r="BF33">
        <v>1</v>
      </c>
      <c r="BG33">
        <v>2</v>
      </c>
      <c r="BI33">
        <v>0</v>
      </c>
      <c r="BJ33">
        <v>0</v>
      </c>
      <c r="BK33">
        <v>0</v>
      </c>
      <c r="BO33">
        <v>0</v>
      </c>
      <c r="BP33">
        <v>0</v>
      </c>
      <c r="CB33" s="41">
        <v>0</v>
      </c>
      <c r="CC33">
        <v>8</v>
      </c>
      <c r="CD33">
        <v>8</v>
      </c>
      <c r="CE33">
        <v>0</v>
      </c>
      <c r="CF33">
        <v>6</v>
      </c>
      <c r="CG33">
        <v>6</v>
      </c>
      <c r="CH33">
        <v>2</v>
      </c>
      <c r="CI33">
        <v>1</v>
      </c>
      <c r="CJ33">
        <v>10</v>
      </c>
      <c r="CK33">
        <v>7</v>
      </c>
      <c r="CL33">
        <v>452</v>
      </c>
    </row>
    <row r="34" spans="1:90" x14ac:dyDescent="0.25">
      <c r="A34" t="s">
        <v>173</v>
      </c>
      <c r="B34" t="s">
        <v>151</v>
      </c>
      <c r="C34">
        <v>343</v>
      </c>
      <c r="X34" s="41" t="s">
        <v>77</v>
      </c>
      <c r="CB34" s="41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343</v>
      </c>
    </row>
    <row r="35" spans="1:90" x14ac:dyDescent="0.25">
      <c r="A35" t="s">
        <v>174</v>
      </c>
      <c r="B35" t="s">
        <v>151</v>
      </c>
      <c r="C35">
        <v>214</v>
      </c>
      <c r="X35" s="41" t="s">
        <v>77</v>
      </c>
      <c r="CB35" s="41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214</v>
      </c>
    </row>
    <row r="36" spans="1:90" x14ac:dyDescent="0.25">
      <c r="A36" t="s">
        <v>175</v>
      </c>
      <c r="B36" t="s">
        <v>151</v>
      </c>
      <c r="C36">
        <v>253</v>
      </c>
      <c r="X36" s="41" t="s">
        <v>77</v>
      </c>
      <c r="CB36" s="41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253</v>
      </c>
    </row>
    <row r="37" spans="1:90" x14ac:dyDescent="0.25">
      <c r="A37" t="s">
        <v>176</v>
      </c>
      <c r="B37" t="s">
        <v>151</v>
      </c>
      <c r="C37">
        <v>126</v>
      </c>
      <c r="F37">
        <v>0</v>
      </c>
      <c r="H37">
        <v>0</v>
      </c>
      <c r="T37">
        <v>0</v>
      </c>
      <c r="U37">
        <v>0</v>
      </c>
      <c r="V37">
        <v>0</v>
      </c>
      <c r="X37" s="41" t="s">
        <v>77</v>
      </c>
      <c r="Y37">
        <v>0</v>
      </c>
      <c r="Z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CB37" s="41">
        <v>2</v>
      </c>
      <c r="CC37">
        <v>12</v>
      </c>
      <c r="CD37">
        <v>14</v>
      </c>
      <c r="CE37">
        <v>0</v>
      </c>
      <c r="CF37">
        <v>0</v>
      </c>
      <c r="CG37">
        <v>0</v>
      </c>
      <c r="CH37">
        <v>5</v>
      </c>
      <c r="CI37">
        <v>0</v>
      </c>
      <c r="CJ37">
        <v>19</v>
      </c>
      <c r="CK37">
        <v>0</v>
      </c>
      <c r="CL37">
        <v>145</v>
      </c>
    </row>
    <row r="38" spans="1:90" x14ac:dyDescent="0.25">
      <c r="A38" t="s">
        <v>177</v>
      </c>
      <c r="B38" t="s">
        <v>149</v>
      </c>
      <c r="C38">
        <v>35</v>
      </c>
      <c r="W38">
        <v>0</v>
      </c>
      <c r="X38" s="41" t="s">
        <v>77</v>
      </c>
      <c r="BH38">
        <v>0</v>
      </c>
      <c r="BI38">
        <v>0</v>
      </c>
      <c r="BJ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CB38" s="41">
        <v>0</v>
      </c>
      <c r="CC38">
        <v>9</v>
      </c>
      <c r="CD38">
        <v>9</v>
      </c>
      <c r="CE38">
        <v>0</v>
      </c>
      <c r="CF38">
        <v>0</v>
      </c>
      <c r="CG38">
        <v>0</v>
      </c>
      <c r="CH38">
        <v>1</v>
      </c>
      <c r="CI38">
        <v>0</v>
      </c>
      <c r="CJ38">
        <v>10</v>
      </c>
      <c r="CK38">
        <v>0</v>
      </c>
      <c r="CL38">
        <v>45</v>
      </c>
    </row>
    <row r="39" spans="1:90" x14ac:dyDescent="0.25">
      <c r="A39" t="s">
        <v>178</v>
      </c>
      <c r="B39" t="s">
        <v>149</v>
      </c>
      <c r="C39">
        <v>56</v>
      </c>
      <c r="F39">
        <v>0</v>
      </c>
      <c r="H39">
        <v>0</v>
      </c>
      <c r="I39">
        <v>0</v>
      </c>
      <c r="J39">
        <v>0</v>
      </c>
      <c r="R39">
        <v>1</v>
      </c>
      <c r="T39">
        <v>0</v>
      </c>
      <c r="V39">
        <v>0</v>
      </c>
      <c r="X39" s="41" t="s">
        <v>77</v>
      </c>
      <c r="Y39">
        <v>0</v>
      </c>
      <c r="Z39">
        <v>2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N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CB39" s="41">
        <v>22</v>
      </c>
      <c r="CC39">
        <v>0</v>
      </c>
      <c r="CD39">
        <v>22</v>
      </c>
      <c r="CE39">
        <v>3</v>
      </c>
      <c r="CF39">
        <v>0</v>
      </c>
      <c r="CG39">
        <v>3</v>
      </c>
      <c r="CH39">
        <v>7</v>
      </c>
      <c r="CI39">
        <v>1</v>
      </c>
      <c r="CJ39">
        <v>29</v>
      </c>
      <c r="CK39">
        <v>4</v>
      </c>
      <c r="CL39">
        <v>85</v>
      </c>
    </row>
    <row r="40" spans="1:90" x14ac:dyDescent="0.25">
      <c r="A40" t="s">
        <v>179</v>
      </c>
      <c r="B40" t="s">
        <v>151</v>
      </c>
      <c r="C40">
        <v>72</v>
      </c>
      <c r="F40">
        <v>0</v>
      </c>
      <c r="I40">
        <v>0</v>
      </c>
      <c r="J40">
        <v>0</v>
      </c>
      <c r="R40">
        <v>0</v>
      </c>
      <c r="S40">
        <v>0</v>
      </c>
      <c r="X40" s="41" t="s">
        <v>77</v>
      </c>
      <c r="Y40">
        <v>0</v>
      </c>
      <c r="Z40">
        <v>1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I40">
        <v>0</v>
      </c>
      <c r="AJ40">
        <v>0</v>
      </c>
      <c r="AK40">
        <v>0</v>
      </c>
      <c r="AL40">
        <v>0</v>
      </c>
      <c r="AN40">
        <v>0</v>
      </c>
      <c r="AP40">
        <v>0</v>
      </c>
      <c r="AQ40">
        <v>1</v>
      </c>
      <c r="AR40">
        <v>0</v>
      </c>
      <c r="AT40">
        <v>0</v>
      </c>
      <c r="AU40">
        <v>0</v>
      </c>
      <c r="AV40">
        <v>0</v>
      </c>
      <c r="CB40" s="41">
        <v>20</v>
      </c>
      <c r="CC40">
        <v>0</v>
      </c>
      <c r="CD40">
        <v>20</v>
      </c>
      <c r="CE40">
        <v>3</v>
      </c>
      <c r="CF40">
        <v>0</v>
      </c>
      <c r="CG40">
        <v>3</v>
      </c>
      <c r="CH40">
        <v>5</v>
      </c>
      <c r="CI40">
        <v>0</v>
      </c>
      <c r="CJ40">
        <v>25</v>
      </c>
      <c r="CK40">
        <v>3</v>
      </c>
      <c r="CL40">
        <v>97</v>
      </c>
    </row>
    <row r="41" spans="1:90" x14ac:dyDescent="0.25">
      <c r="A41" t="s">
        <v>180</v>
      </c>
      <c r="B41" t="s">
        <v>149</v>
      </c>
      <c r="C41">
        <v>63</v>
      </c>
      <c r="F41">
        <v>1</v>
      </c>
      <c r="H41">
        <v>0</v>
      </c>
      <c r="I41">
        <v>0</v>
      </c>
      <c r="R41">
        <v>0</v>
      </c>
      <c r="V41">
        <v>0</v>
      </c>
      <c r="X41" s="41" t="s">
        <v>77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CB41" s="41">
        <v>10</v>
      </c>
      <c r="CC41">
        <v>0</v>
      </c>
      <c r="CD41">
        <v>10</v>
      </c>
      <c r="CE41">
        <v>0</v>
      </c>
      <c r="CF41">
        <v>0</v>
      </c>
      <c r="CG41">
        <v>0</v>
      </c>
      <c r="CH41">
        <v>5</v>
      </c>
      <c r="CI41">
        <v>1</v>
      </c>
      <c r="CJ41">
        <v>15</v>
      </c>
      <c r="CK41">
        <v>1</v>
      </c>
      <c r="CL41">
        <v>78</v>
      </c>
    </row>
    <row r="42" spans="1:90" x14ac:dyDescent="0.25">
      <c r="A42" t="s">
        <v>181</v>
      </c>
      <c r="B42" t="s">
        <v>151</v>
      </c>
      <c r="C42">
        <v>351</v>
      </c>
      <c r="X42" s="41" t="s">
        <v>77</v>
      </c>
      <c r="CB42" s="41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351</v>
      </c>
    </row>
    <row r="43" spans="1:90" x14ac:dyDescent="0.25">
      <c r="A43" t="s">
        <v>271</v>
      </c>
      <c r="W43">
        <v>0</v>
      </c>
      <c r="X43" s="41" t="s">
        <v>77</v>
      </c>
      <c r="BJ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CB43" s="41">
        <v>0</v>
      </c>
      <c r="CC43">
        <v>7</v>
      </c>
      <c r="CD43">
        <v>7</v>
      </c>
      <c r="CE43">
        <v>0</v>
      </c>
      <c r="CF43">
        <v>0</v>
      </c>
      <c r="CG43">
        <v>0</v>
      </c>
      <c r="CH43">
        <v>1</v>
      </c>
      <c r="CI43">
        <v>0</v>
      </c>
      <c r="CJ43">
        <v>8</v>
      </c>
      <c r="CK43">
        <v>0</v>
      </c>
      <c r="CL43">
        <v>8</v>
      </c>
    </row>
    <row r="44" spans="1:90" x14ac:dyDescent="0.25">
      <c r="A44" t="s">
        <v>182</v>
      </c>
      <c r="B44" t="s">
        <v>151</v>
      </c>
      <c r="C44">
        <v>6</v>
      </c>
      <c r="F44">
        <v>0</v>
      </c>
      <c r="I44">
        <v>0</v>
      </c>
      <c r="J44">
        <v>0</v>
      </c>
      <c r="U44">
        <v>0</v>
      </c>
      <c r="V44">
        <v>0</v>
      </c>
      <c r="W44">
        <v>0</v>
      </c>
      <c r="X44" s="41" t="s">
        <v>77</v>
      </c>
      <c r="BE44">
        <v>0</v>
      </c>
      <c r="BF44">
        <v>0</v>
      </c>
      <c r="BH44">
        <v>0</v>
      </c>
      <c r="BJ44">
        <v>0</v>
      </c>
      <c r="BK44">
        <v>0</v>
      </c>
      <c r="BL44">
        <v>0</v>
      </c>
      <c r="BM44">
        <v>1</v>
      </c>
      <c r="BN44">
        <v>0</v>
      </c>
      <c r="BP44">
        <v>0</v>
      </c>
      <c r="BQ44">
        <v>0</v>
      </c>
      <c r="CB44" s="41">
        <v>0</v>
      </c>
      <c r="CC44">
        <v>10</v>
      </c>
      <c r="CD44">
        <v>10</v>
      </c>
      <c r="CE44">
        <v>0</v>
      </c>
      <c r="CF44">
        <v>1</v>
      </c>
      <c r="CG44">
        <v>1</v>
      </c>
      <c r="CH44">
        <v>6</v>
      </c>
      <c r="CI44">
        <v>0</v>
      </c>
      <c r="CJ44">
        <v>16</v>
      </c>
      <c r="CK44">
        <v>1</v>
      </c>
      <c r="CL44">
        <v>22</v>
      </c>
    </row>
    <row r="45" spans="1:90" x14ac:dyDescent="0.25">
      <c r="A45" t="s">
        <v>183</v>
      </c>
      <c r="B45" t="s">
        <v>151</v>
      </c>
      <c r="C45">
        <v>4</v>
      </c>
      <c r="X45" s="41" t="s">
        <v>77</v>
      </c>
      <c r="CB45" s="41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4</v>
      </c>
    </row>
    <row r="46" spans="1:90" x14ac:dyDescent="0.25">
      <c r="A46" t="s">
        <v>184</v>
      </c>
      <c r="B46" t="s">
        <v>149</v>
      </c>
      <c r="C46">
        <v>181</v>
      </c>
      <c r="I46">
        <v>0</v>
      </c>
      <c r="S46">
        <v>1</v>
      </c>
      <c r="U46">
        <v>0</v>
      </c>
      <c r="W46">
        <v>0</v>
      </c>
      <c r="X46" s="41" t="s">
        <v>77</v>
      </c>
      <c r="AC46">
        <v>2</v>
      </c>
      <c r="AD46">
        <v>0</v>
      </c>
      <c r="AE46">
        <v>0</v>
      </c>
      <c r="AG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CB46" s="41">
        <v>4</v>
      </c>
      <c r="CC46">
        <v>9</v>
      </c>
      <c r="CD46">
        <v>13</v>
      </c>
      <c r="CE46">
        <v>2</v>
      </c>
      <c r="CF46">
        <v>0</v>
      </c>
      <c r="CG46">
        <v>2</v>
      </c>
      <c r="CH46">
        <v>4</v>
      </c>
      <c r="CI46">
        <v>1</v>
      </c>
      <c r="CJ46">
        <v>17</v>
      </c>
      <c r="CK46">
        <v>3</v>
      </c>
      <c r="CL46">
        <v>198</v>
      </c>
    </row>
    <row r="47" spans="1:90" x14ac:dyDescent="0.25">
      <c r="A47" t="s">
        <v>185</v>
      </c>
      <c r="B47" t="s">
        <v>149</v>
      </c>
      <c r="C47">
        <v>24</v>
      </c>
      <c r="X47" s="41" t="s">
        <v>77</v>
      </c>
      <c r="CB47" s="41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24</v>
      </c>
    </row>
    <row r="48" spans="1:90" x14ac:dyDescent="0.25">
      <c r="A48" t="s">
        <v>186</v>
      </c>
      <c r="B48" t="s">
        <v>149</v>
      </c>
      <c r="C48">
        <v>54</v>
      </c>
      <c r="X48" s="41" t="s">
        <v>77</v>
      </c>
      <c r="CB48" s="41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54</v>
      </c>
    </row>
    <row r="49" spans="1:90" x14ac:dyDescent="0.25">
      <c r="A49" t="s">
        <v>187</v>
      </c>
      <c r="B49" t="s">
        <v>149</v>
      </c>
      <c r="C49">
        <v>105</v>
      </c>
      <c r="H49">
        <v>1</v>
      </c>
      <c r="I49">
        <v>0</v>
      </c>
      <c r="X49" s="41" t="s">
        <v>77</v>
      </c>
      <c r="CB49" s="41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2</v>
      </c>
      <c r="CI49">
        <v>1</v>
      </c>
      <c r="CJ49">
        <v>2</v>
      </c>
      <c r="CK49">
        <v>1</v>
      </c>
      <c r="CL49">
        <v>107</v>
      </c>
    </row>
    <row r="50" spans="1:90" x14ac:dyDescent="0.25">
      <c r="A50" t="s">
        <v>272</v>
      </c>
      <c r="F50">
        <v>0</v>
      </c>
      <c r="I50">
        <v>0</v>
      </c>
      <c r="J50">
        <v>0</v>
      </c>
      <c r="R50">
        <v>0</v>
      </c>
      <c r="S50">
        <v>0</v>
      </c>
      <c r="T50">
        <v>0</v>
      </c>
      <c r="X50" s="41" t="s">
        <v>77</v>
      </c>
      <c r="Z50">
        <v>0</v>
      </c>
      <c r="AB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N50">
        <v>4</v>
      </c>
      <c r="AP50">
        <v>0</v>
      </c>
      <c r="AQ50">
        <v>0</v>
      </c>
      <c r="AR50">
        <v>1</v>
      </c>
      <c r="AS50">
        <v>0</v>
      </c>
      <c r="AT50">
        <v>0</v>
      </c>
      <c r="AU50">
        <v>0</v>
      </c>
      <c r="AV50">
        <v>0</v>
      </c>
      <c r="BE50">
        <v>0</v>
      </c>
      <c r="CB50" s="41">
        <v>19</v>
      </c>
      <c r="CC50">
        <v>1</v>
      </c>
      <c r="CD50">
        <v>20</v>
      </c>
      <c r="CE50">
        <v>5</v>
      </c>
      <c r="CF50">
        <v>0</v>
      </c>
      <c r="CG50">
        <v>5</v>
      </c>
      <c r="CH50">
        <v>6</v>
      </c>
      <c r="CI50">
        <v>0</v>
      </c>
      <c r="CJ50">
        <v>26</v>
      </c>
      <c r="CK50">
        <v>5</v>
      </c>
      <c r="CL50">
        <v>26</v>
      </c>
    </row>
    <row r="51" spans="1:90" x14ac:dyDescent="0.25">
      <c r="A51" t="s">
        <v>188</v>
      </c>
      <c r="B51" t="s">
        <v>151</v>
      </c>
      <c r="C51">
        <v>139</v>
      </c>
      <c r="F51">
        <v>1</v>
      </c>
      <c r="I51">
        <v>1</v>
      </c>
      <c r="J51">
        <v>0</v>
      </c>
      <c r="R51">
        <v>0</v>
      </c>
      <c r="S51">
        <v>0</v>
      </c>
      <c r="T51">
        <v>0</v>
      </c>
      <c r="X51" s="41" t="s">
        <v>77</v>
      </c>
      <c r="Y51">
        <v>0</v>
      </c>
      <c r="Z51">
        <v>0</v>
      </c>
      <c r="AA51">
        <v>0</v>
      </c>
      <c r="AB51">
        <v>1</v>
      </c>
      <c r="AC51">
        <v>2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K51">
        <v>0</v>
      </c>
      <c r="AL51">
        <v>0</v>
      </c>
      <c r="AN51">
        <v>1</v>
      </c>
      <c r="AP51">
        <v>0</v>
      </c>
      <c r="AQ51">
        <v>0</v>
      </c>
      <c r="AR51">
        <v>2</v>
      </c>
      <c r="AS51">
        <v>0</v>
      </c>
      <c r="AT51">
        <v>0</v>
      </c>
      <c r="AU51">
        <v>0</v>
      </c>
      <c r="AV51">
        <v>0</v>
      </c>
      <c r="BK51">
        <v>0</v>
      </c>
      <c r="CB51" s="41">
        <v>21</v>
      </c>
      <c r="CC51">
        <v>1</v>
      </c>
      <c r="CD51">
        <v>22</v>
      </c>
      <c r="CE51">
        <v>7</v>
      </c>
      <c r="CF51">
        <v>0</v>
      </c>
      <c r="CG51">
        <v>7</v>
      </c>
      <c r="CH51">
        <v>6</v>
      </c>
      <c r="CI51">
        <v>2</v>
      </c>
      <c r="CJ51">
        <v>28</v>
      </c>
      <c r="CK51">
        <v>9</v>
      </c>
      <c r="CL51">
        <v>167</v>
      </c>
    </row>
    <row r="52" spans="1:90" x14ac:dyDescent="0.25">
      <c r="A52" t="s">
        <v>189</v>
      </c>
      <c r="B52" t="s">
        <v>151</v>
      </c>
      <c r="C52">
        <v>40</v>
      </c>
      <c r="S52">
        <v>0</v>
      </c>
      <c r="U52">
        <v>0</v>
      </c>
      <c r="V52">
        <v>0</v>
      </c>
      <c r="W52">
        <v>0</v>
      </c>
      <c r="X52" s="41" t="s">
        <v>77</v>
      </c>
      <c r="BF52">
        <v>0</v>
      </c>
      <c r="BG52">
        <v>0</v>
      </c>
      <c r="BH52">
        <v>0</v>
      </c>
      <c r="BJ52">
        <v>0</v>
      </c>
      <c r="BL52">
        <v>0</v>
      </c>
      <c r="BM52">
        <v>0</v>
      </c>
      <c r="BN52">
        <v>0</v>
      </c>
      <c r="BP52">
        <v>0</v>
      </c>
      <c r="BQ52">
        <v>0</v>
      </c>
      <c r="CB52" s="41">
        <v>0</v>
      </c>
      <c r="CC52">
        <v>9</v>
      </c>
      <c r="CD52">
        <v>9</v>
      </c>
      <c r="CE52">
        <v>0</v>
      </c>
      <c r="CF52">
        <v>0</v>
      </c>
      <c r="CG52">
        <v>0</v>
      </c>
      <c r="CH52">
        <v>4</v>
      </c>
      <c r="CI52">
        <v>0</v>
      </c>
      <c r="CJ52">
        <v>13</v>
      </c>
      <c r="CK52">
        <v>0</v>
      </c>
      <c r="CL52">
        <v>53</v>
      </c>
    </row>
    <row r="53" spans="1:90" x14ac:dyDescent="0.25">
      <c r="A53" t="s">
        <v>190</v>
      </c>
      <c r="B53" t="s">
        <v>151</v>
      </c>
      <c r="C53">
        <v>101</v>
      </c>
      <c r="H53">
        <v>0</v>
      </c>
      <c r="I53">
        <v>0</v>
      </c>
      <c r="J53">
        <v>0</v>
      </c>
      <c r="S53">
        <v>0</v>
      </c>
      <c r="X53" s="41" t="s">
        <v>77</v>
      </c>
      <c r="Z53">
        <v>0</v>
      </c>
      <c r="AB53">
        <v>0</v>
      </c>
      <c r="AC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K53">
        <v>0</v>
      </c>
      <c r="AN53">
        <v>1</v>
      </c>
      <c r="AR53">
        <v>0</v>
      </c>
      <c r="AS53">
        <v>0</v>
      </c>
      <c r="AT53">
        <v>0</v>
      </c>
      <c r="AV53">
        <v>0</v>
      </c>
      <c r="BN53">
        <v>0</v>
      </c>
      <c r="BP53">
        <v>0</v>
      </c>
      <c r="CB53" s="41">
        <v>14</v>
      </c>
      <c r="CC53">
        <v>2</v>
      </c>
      <c r="CD53">
        <v>16</v>
      </c>
      <c r="CE53">
        <v>1</v>
      </c>
      <c r="CF53">
        <v>0</v>
      </c>
      <c r="CG53">
        <v>1</v>
      </c>
      <c r="CH53">
        <v>4</v>
      </c>
      <c r="CI53">
        <v>0</v>
      </c>
      <c r="CJ53">
        <v>20</v>
      </c>
      <c r="CK53">
        <v>1</v>
      </c>
      <c r="CL53">
        <v>121</v>
      </c>
    </row>
    <row r="54" spans="1:90" x14ac:dyDescent="0.25">
      <c r="A54" t="s">
        <v>191</v>
      </c>
      <c r="B54" t="s">
        <v>151</v>
      </c>
      <c r="C54">
        <v>68</v>
      </c>
      <c r="X54" s="41" t="s">
        <v>77</v>
      </c>
      <c r="BG54">
        <v>0</v>
      </c>
      <c r="BM54">
        <v>0</v>
      </c>
      <c r="CB54" s="41">
        <v>0</v>
      </c>
      <c r="CC54">
        <v>2</v>
      </c>
      <c r="CD54">
        <v>2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2</v>
      </c>
      <c r="CK54">
        <v>0</v>
      </c>
      <c r="CL54">
        <v>70</v>
      </c>
    </row>
    <row r="55" spans="1:90" x14ac:dyDescent="0.25">
      <c r="A55" t="s">
        <v>192</v>
      </c>
      <c r="B55" t="s">
        <v>149</v>
      </c>
      <c r="C55">
        <v>110</v>
      </c>
      <c r="U55">
        <v>1</v>
      </c>
      <c r="V55">
        <v>0</v>
      </c>
      <c r="W55">
        <v>0</v>
      </c>
      <c r="X55" s="41" t="s">
        <v>77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O55">
        <v>0</v>
      </c>
      <c r="BQ55">
        <v>0</v>
      </c>
      <c r="CB55" s="41">
        <v>0</v>
      </c>
      <c r="CC55">
        <v>11</v>
      </c>
      <c r="CD55">
        <v>11</v>
      </c>
      <c r="CE55">
        <v>0</v>
      </c>
      <c r="CF55">
        <v>0</v>
      </c>
      <c r="CG55">
        <v>0</v>
      </c>
      <c r="CH55">
        <v>3</v>
      </c>
      <c r="CI55">
        <v>1</v>
      </c>
      <c r="CJ55">
        <v>14</v>
      </c>
      <c r="CK55">
        <v>1</v>
      </c>
      <c r="CL55">
        <v>124</v>
      </c>
    </row>
    <row r="56" spans="1:90" x14ac:dyDescent="0.25">
      <c r="A56" t="s">
        <v>193</v>
      </c>
      <c r="B56" t="s">
        <v>151</v>
      </c>
      <c r="C56">
        <v>8</v>
      </c>
      <c r="H56">
        <v>2</v>
      </c>
      <c r="I56">
        <v>1</v>
      </c>
      <c r="J56">
        <v>1</v>
      </c>
      <c r="R56">
        <v>1</v>
      </c>
      <c r="S56">
        <v>0</v>
      </c>
      <c r="T56">
        <v>0</v>
      </c>
      <c r="X56" s="41" t="s">
        <v>77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H56">
        <v>0</v>
      </c>
      <c r="AJ56">
        <v>0</v>
      </c>
      <c r="AL56">
        <v>0</v>
      </c>
      <c r="AP56">
        <v>0</v>
      </c>
      <c r="AQ56">
        <v>0</v>
      </c>
      <c r="AR56">
        <v>0</v>
      </c>
      <c r="AS56">
        <v>1</v>
      </c>
      <c r="AT56">
        <v>0</v>
      </c>
      <c r="AU56">
        <v>0</v>
      </c>
      <c r="AV56">
        <v>0</v>
      </c>
      <c r="CB56" s="41">
        <v>17</v>
      </c>
      <c r="CC56">
        <v>0</v>
      </c>
      <c r="CD56">
        <v>17</v>
      </c>
      <c r="CE56">
        <v>1</v>
      </c>
      <c r="CF56">
        <v>0</v>
      </c>
      <c r="CG56">
        <v>1</v>
      </c>
      <c r="CH56">
        <v>6</v>
      </c>
      <c r="CI56">
        <v>5</v>
      </c>
      <c r="CJ56">
        <v>23</v>
      </c>
      <c r="CK56">
        <v>6</v>
      </c>
      <c r="CL56">
        <v>31</v>
      </c>
    </row>
    <row r="57" spans="1:90" x14ac:dyDescent="0.25">
      <c r="A57" t="s">
        <v>194</v>
      </c>
      <c r="B57" t="s">
        <v>149</v>
      </c>
      <c r="C57">
        <v>77</v>
      </c>
      <c r="F57">
        <v>0</v>
      </c>
      <c r="I57">
        <v>0</v>
      </c>
      <c r="T57">
        <v>0</v>
      </c>
      <c r="V57">
        <v>0</v>
      </c>
      <c r="W57">
        <v>0</v>
      </c>
      <c r="X57" s="41" t="s">
        <v>77</v>
      </c>
      <c r="Y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L57">
        <v>0</v>
      </c>
      <c r="BI57">
        <v>0</v>
      </c>
      <c r="BJ57">
        <v>0</v>
      </c>
      <c r="BK57">
        <v>0</v>
      </c>
      <c r="BL57">
        <v>1</v>
      </c>
      <c r="BN57">
        <v>0</v>
      </c>
      <c r="BO57">
        <v>0</v>
      </c>
      <c r="BP57">
        <v>0</v>
      </c>
      <c r="BQ57">
        <v>0</v>
      </c>
      <c r="CB57" s="41">
        <v>7</v>
      </c>
      <c r="CC57">
        <v>8</v>
      </c>
      <c r="CD57">
        <v>15</v>
      </c>
      <c r="CE57">
        <v>0</v>
      </c>
      <c r="CF57">
        <v>1</v>
      </c>
      <c r="CG57">
        <v>1</v>
      </c>
      <c r="CH57">
        <v>5</v>
      </c>
      <c r="CI57">
        <v>0</v>
      </c>
      <c r="CJ57">
        <v>20</v>
      </c>
      <c r="CK57">
        <v>1</v>
      </c>
      <c r="CL57">
        <v>97</v>
      </c>
    </row>
    <row r="58" spans="1:90" x14ac:dyDescent="0.25">
      <c r="A58" t="s">
        <v>273</v>
      </c>
      <c r="U58">
        <v>1</v>
      </c>
      <c r="V58">
        <v>0</v>
      </c>
      <c r="X58" s="41" t="s">
        <v>77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M58">
        <v>0</v>
      </c>
      <c r="BN58">
        <v>0</v>
      </c>
      <c r="BO58">
        <v>0</v>
      </c>
      <c r="BQ58">
        <v>0</v>
      </c>
      <c r="CB58" s="41">
        <v>0</v>
      </c>
      <c r="CC58">
        <v>10</v>
      </c>
      <c r="CD58">
        <v>10</v>
      </c>
      <c r="CE58">
        <v>0</v>
      </c>
      <c r="CF58">
        <v>0</v>
      </c>
      <c r="CG58">
        <v>0</v>
      </c>
      <c r="CH58">
        <v>2</v>
      </c>
      <c r="CI58">
        <v>1</v>
      </c>
      <c r="CJ58">
        <v>12</v>
      </c>
      <c r="CK58">
        <v>1</v>
      </c>
      <c r="CL58">
        <v>12</v>
      </c>
    </row>
    <row r="59" spans="1:90" x14ac:dyDescent="0.25">
      <c r="A59" t="s">
        <v>195</v>
      </c>
      <c r="B59" t="s">
        <v>149</v>
      </c>
      <c r="C59">
        <v>73</v>
      </c>
      <c r="X59" s="41" t="s">
        <v>77</v>
      </c>
      <c r="CB59" s="41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73</v>
      </c>
    </row>
    <row r="60" spans="1:90" x14ac:dyDescent="0.25">
      <c r="A60" t="s">
        <v>196</v>
      </c>
      <c r="B60" t="s">
        <v>149</v>
      </c>
      <c r="C60">
        <v>194</v>
      </c>
      <c r="J60">
        <v>0</v>
      </c>
      <c r="S60">
        <v>1</v>
      </c>
      <c r="T60">
        <v>1</v>
      </c>
      <c r="U60">
        <v>2</v>
      </c>
      <c r="W60">
        <v>1</v>
      </c>
      <c r="X60" s="41" t="s">
        <v>77</v>
      </c>
      <c r="AA60">
        <v>0</v>
      </c>
      <c r="AB60">
        <v>0</v>
      </c>
      <c r="AC60">
        <v>3</v>
      </c>
      <c r="AD60">
        <v>0</v>
      </c>
      <c r="AE60">
        <v>0</v>
      </c>
      <c r="AF60">
        <v>0</v>
      </c>
      <c r="AG60">
        <v>2</v>
      </c>
      <c r="AH60">
        <v>0</v>
      </c>
      <c r="AI60">
        <v>2</v>
      </c>
      <c r="AJ60">
        <v>0</v>
      </c>
      <c r="AK60">
        <v>0</v>
      </c>
      <c r="AL60">
        <v>1</v>
      </c>
      <c r="AN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CB60" s="41">
        <v>20</v>
      </c>
      <c r="CC60">
        <v>0</v>
      </c>
      <c r="CD60">
        <v>20</v>
      </c>
      <c r="CE60">
        <v>8</v>
      </c>
      <c r="CF60">
        <v>0</v>
      </c>
      <c r="CG60">
        <v>8</v>
      </c>
      <c r="CH60">
        <v>5</v>
      </c>
      <c r="CI60">
        <v>5</v>
      </c>
      <c r="CJ60">
        <v>25</v>
      </c>
      <c r="CK60">
        <v>13</v>
      </c>
      <c r="CL60">
        <v>219</v>
      </c>
    </row>
    <row r="61" spans="1:90" x14ac:dyDescent="0.25">
      <c r="A61" t="s">
        <v>197</v>
      </c>
      <c r="B61" t="s">
        <v>149</v>
      </c>
      <c r="C61">
        <v>8</v>
      </c>
      <c r="X61" s="41" t="s">
        <v>77</v>
      </c>
      <c r="CB61" s="4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8</v>
      </c>
    </row>
    <row r="62" spans="1:90" x14ac:dyDescent="0.25">
      <c r="A62" t="s">
        <v>198</v>
      </c>
      <c r="B62" t="s">
        <v>151</v>
      </c>
      <c r="C62">
        <v>10</v>
      </c>
      <c r="F62">
        <v>0</v>
      </c>
      <c r="I62">
        <v>0</v>
      </c>
      <c r="J62">
        <v>0</v>
      </c>
      <c r="R62">
        <v>0</v>
      </c>
      <c r="S62">
        <v>0</v>
      </c>
      <c r="W62">
        <v>0</v>
      </c>
      <c r="X62" s="41" t="s">
        <v>77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N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BJ62">
        <v>0</v>
      </c>
      <c r="CB62" s="41">
        <v>20</v>
      </c>
      <c r="CC62">
        <v>1</v>
      </c>
      <c r="CD62">
        <v>21</v>
      </c>
      <c r="CE62">
        <v>0</v>
      </c>
      <c r="CF62">
        <v>0</v>
      </c>
      <c r="CG62">
        <v>0</v>
      </c>
      <c r="CH62">
        <v>6</v>
      </c>
      <c r="CI62">
        <v>0</v>
      </c>
      <c r="CJ62">
        <v>27</v>
      </c>
      <c r="CK62">
        <v>0</v>
      </c>
      <c r="CL62">
        <v>37</v>
      </c>
    </row>
    <row r="63" spans="1:90" x14ac:dyDescent="0.25">
      <c r="A63" t="s">
        <v>199</v>
      </c>
      <c r="B63" t="s">
        <v>151</v>
      </c>
      <c r="C63">
        <v>107</v>
      </c>
      <c r="X63" s="41" t="s">
        <v>77</v>
      </c>
      <c r="CB63" s="41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107</v>
      </c>
    </row>
    <row r="64" spans="1:90" x14ac:dyDescent="0.25">
      <c r="A64" t="s">
        <v>200</v>
      </c>
      <c r="B64" t="s">
        <v>149</v>
      </c>
      <c r="C64">
        <v>51</v>
      </c>
      <c r="F64">
        <v>1</v>
      </c>
      <c r="R64">
        <v>0</v>
      </c>
      <c r="X64" s="41" t="s">
        <v>77</v>
      </c>
      <c r="Y64">
        <v>0</v>
      </c>
      <c r="Z64">
        <v>0</v>
      </c>
      <c r="AA64">
        <v>0</v>
      </c>
      <c r="AB64">
        <v>0</v>
      </c>
      <c r="AJ64">
        <v>0</v>
      </c>
      <c r="AK64">
        <v>0</v>
      </c>
      <c r="AL64">
        <v>0</v>
      </c>
      <c r="AP64">
        <v>0</v>
      </c>
      <c r="AQ64">
        <v>0</v>
      </c>
      <c r="AR64">
        <v>0</v>
      </c>
      <c r="AU64">
        <v>0</v>
      </c>
      <c r="BG64">
        <v>0</v>
      </c>
      <c r="BK64">
        <v>1</v>
      </c>
      <c r="CB64" s="41">
        <v>11</v>
      </c>
      <c r="CC64">
        <v>2</v>
      </c>
      <c r="CD64">
        <v>13</v>
      </c>
      <c r="CE64">
        <v>0</v>
      </c>
      <c r="CF64">
        <v>1</v>
      </c>
      <c r="CG64">
        <v>1</v>
      </c>
      <c r="CH64">
        <v>2</v>
      </c>
      <c r="CI64">
        <v>1</v>
      </c>
      <c r="CJ64">
        <v>15</v>
      </c>
      <c r="CK64">
        <v>2</v>
      </c>
      <c r="CL64">
        <v>66</v>
      </c>
    </row>
    <row r="65" spans="1:90" x14ac:dyDescent="0.25">
      <c r="A65" t="s">
        <v>201</v>
      </c>
      <c r="B65" t="s">
        <v>151</v>
      </c>
      <c r="C65">
        <v>74</v>
      </c>
      <c r="F65">
        <v>0</v>
      </c>
      <c r="H65">
        <v>0</v>
      </c>
      <c r="I65">
        <v>0</v>
      </c>
      <c r="T65">
        <v>0</v>
      </c>
      <c r="X65" s="41" t="s">
        <v>77</v>
      </c>
      <c r="AJ65">
        <v>0</v>
      </c>
      <c r="AL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CB65" s="41">
        <v>8</v>
      </c>
      <c r="CC65">
        <v>0</v>
      </c>
      <c r="CD65">
        <v>8</v>
      </c>
      <c r="CE65">
        <v>0</v>
      </c>
      <c r="CF65">
        <v>0</v>
      </c>
      <c r="CG65">
        <v>0</v>
      </c>
      <c r="CH65">
        <v>4</v>
      </c>
      <c r="CI65">
        <v>0</v>
      </c>
      <c r="CJ65">
        <v>12</v>
      </c>
      <c r="CK65">
        <v>0</v>
      </c>
      <c r="CL65">
        <v>86</v>
      </c>
    </row>
    <row r="66" spans="1:90" x14ac:dyDescent="0.25">
      <c r="A66" t="s">
        <v>202</v>
      </c>
      <c r="B66" t="s">
        <v>151</v>
      </c>
      <c r="C66">
        <v>9</v>
      </c>
      <c r="U66">
        <v>0</v>
      </c>
      <c r="X66" s="41" t="s">
        <v>77</v>
      </c>
      <c r="BF66">
        <v>0</v>
      </c>
      <c r="BH66">
        <v>0</v>
      </c>
      <c r="BL66">
        <v>1</v>
      </c>
      <c r="BM66">
        <v>0</v>
      </c>
      <c r="BN66">
        <v>0</v>
      </c>
      <c r="BP66">
        <v>0</v>
      </c>
      <c r="BQ66">
        <v>0</v>
      </c>
      <c r="CB66" s="41">
        <v>0</v>
      </c>
      <c r="CC66">
        <v>7</v>
      </c>
      <c r="CD66">
        <v>7</v>
      </c>
      <c r="CE66">
        <v>0</v>
      </c>
      <c r="CF66">
        <v>1</v>
      </c>
      <c r="CG66">
        <v>1</v>
      </c>
      <c r="CH66">
        <v>1</v>
      </c>
      <c r="CI66">
        <v>0</v>
      </c>
      <c r="CJ66">
        <v>8</v>
      </c>
      <c r="CK66">
        <v>1</v>
      </c>
      <c r="CL66">
        <v>17</v>
      </c>
    </row>
    <row r="67" spans="1:90" x14ac:dyDescent="0.25">
      <c r="X67" s="41" t="s">
        <v>77</v>
      </c>
      <c r="CB67" s="41" t="s">
        <v>77</v>
      </c>
    </row>
    <row r="68" spans="1:90" x14ac:dyDescent="0.25">
      <c r="A68" s="10" t="s">
        <v>203</v>
      </c>
      <c r="B68" s="10" t="s">
        <v>77</v>
      </c>
      <c r="C68" s="11" t="s">
        <v>77</v>
      </c>
      <c r="D68" s="10">
        <v>0</v>
      </c>
      <c r="E68" s="10">
        <v>0</v>
      </c>
      <c r="F68" s="10">
        <v>16</v>
      </c>
      <c r="G68" s="10">
        <v>0</v>
      </c>
      <c r="H68" s="10">
        <v>16</v>
      </c>
      <c r="I68" s="10">
        <v>18</v>
      </c>
      <c r="J68" s="10">
        <v>15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14</v>
      </c>
      <c r="S68" s="10">
        <v>14</v>
      </c>
      <c r="T68" s="10">
        <v>15</v>
      </c>
      <c r="U68" s="10">
        <v>14</v>
      </c>
      <c r="V68" s="10">
        <v>14</v>
      </c>
      <c r="W68" s="10">
        <v>15</v>
      </c>
      <c r="X68" s="10">
        <v>0</v>
      </c>
      <c r="Y68" s="10">
        <v>14</v>
      </c>
      <c r="Z68" s="10">
        <v>14</v>
      </c>
      <c r="AA68" s="10">
        <v>14</v>
      </c>
      <c r="AB68" s="10">
        <v>14</v>
      </c>
      <c r="AC68" s="10">
        <v>14</v>
      </c>
      <c r="AD68" s="10">
        <v>14</v>
      </c>
      <c r="AE68" s="10">
        <v>14</v>
      </c>
      <c r="AF68" s="10">
        <v>14</v>
      </c>
      <c r="AG68" s="10">
        <v>14</v>
      </c>
      <c r="AH68" s="10">
        <v>14</v>
      </c>
      <c r="AI68" s="10">
        <v>14</v>
      </c>
      <c r="AJ68" s="10">
        <v>14</v>
      </c>
      <c r="AK68" s="10">
        <v>14</v>
      </c>
      <c r="AL68" s="10">
        <v>14</v>
      </c>
      <c r="AM68" s="10">
        <v>0</v>
      </c>
      <c r="AN68" s="10">
        <v>14</v>
      </c>
      <c r="AO68" s="10">
        <v>0</v>
      </c>
      <c r="AP68" s="10">
        <v>14</v>
      </c>
      <c r="AQ68" s="10">
        <v>14</v>
      </c>
      <c r="AR68" s="10">
        <v>14</v>
      </c>
      <c r="AS68" s="10">
        <v>14</v>
      </c>
      <c r="AT68" s="10">
        <v>14</v>
      </c>
      <c r="AU68" s="10">
        <v>14</v>
      </c>
      <c r="AV68" s="10">
        <v>14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14</v>
      </c>
      <c r="BF68" s="10">
        <v>13</v>
      </c>
      <c r="BG68" s="10">
        <v>14</v>
      </c>
      <c r="BH68" s="10">
        <v>14</v>
      </c>
      <c r="BI68" s="10">
        <v>12</v>
      </c>
      <c r="BJ68" s="10">
        <v>14</v>
      </c>
      <c r="BK68" s="10">
        <v>14</v>
      </c>
      <c r="BL68" s="10">
        <v>14</v>
      </c>
      <c r="BM68" s="10">
        <v>14</v>
      </c>
      <c r="BN68" s="10">
        <v>13</v>
      </c>
      <c r="BO68" s="10">
        <v>14</v>
      </c>
      <c r="BP68" s="10">
        <v>14</v>
      </c>
      <c r="BQ68" s="10">
        <v>14</v>
      </c>
      <c r="BR68" s="10">
        <v>0</v>
      </c>
      <c r="BS68" s="10">
        <v>0</v>
      </c>
      <c r="BT68" s="10">
        <v>0</v>
      </c>
      <c r="BU68" s="10">
        <v>0</v>
      </c>
      <c r="BV68" s="10">
        <v>0</v>
      </c>
      <c r="BW68" s="10">
        <v>0</v>
      </c>
      <c r="BX68" s="10">
        <v>0</v>
      </c>
      <c r="BY68" s="10">
        <v>0</v>
      </c>
      <c r="BZ68" s="10">
        <v>0</v>
      </c>
      <c r="CA68" s="10">
        <v>0</v>
      </c>
      <c r="CB68" s="47" t="s">
        <v>77</v>
      </c>
      <c r="CC68" s="10" t="s">
        <v>77</v>
      </c>
      <c r="CD68" s="10" t="s">
        <v>77</v>
      </c>
      <c r="CE68" s="10" t="s">
        <v>77</v>
      </c>
      <c r="CF68" s="10" t="s">
        <v>77</v>
      </c>
      <c r="CG68" s="10" t="s">
        <v>77</v>
      </c>
      <c r="CH68" s="10" t="s">
        <v>77</v>
      </c>
      <c r="CI68" s="10" t="s">
        <v>77</v>
      </c>
      <c r="CJ68" s="10" t="s">
        <v>77</v>
      </c>
      <c r="CK68" s="10" t="s">
        <v>77</v>
      </c>
      <c r="CL68" s="10" t="s">
        <v>77</v>
      </c>
    </row>
    <row r="69" spans="1:90" x14ac:dyDescent="0.25">
      <c r="A69" s="8" t="s">
        <v>204</v>
      </c>
      <c r="B69" s="8" t="s">
        <v>77</v>
      </c>
      <c r="C69" s="9" t="s">
        <v>77</v>
      </c>
      <c r="D69" s="8">
        <v>0</v>
      </c>
      <c r="E69" s="8">
        <v>0</v>
      </c>
      <c r="F69" s="8">
        <v>3</v>
      </c>
      <c r="G69" s="8">
        <v>3</v>
      </c>
      <c r="H69" s="8">
        <v>2</v>
      </c>
      <c r="I69" s="8">
        <v>2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3</v>
      </c>
      <c r="S69" s="8">
        <v>2</v>
      </c>
      <c r="T69" s="8">
        <v>2</v>
      </c>
      <c r="U69" s="8">
        <v>5</v>
      </c>
      <c r="V69" s="8">
        <v>3</v>
      </c>
      <c r="W69" s="8" t="s">
        <v>77</v>
      </c>
      <c r="X69" s="48">
        <v>0</v>
      </c>
      <c r="Y69" s="8">
        <v>0</v>
      </c>
      <c r="Z69" s="8">
        <v>3</v>
      </c>
      <c r="AA69" s="8">
        <v>0</v>
      </c>
      <c r="AB69" s="8">
        <v>1</v>
      </c>
      <c r="AC69" s="8">
        <v>7</v>
      </c>
      <c r="AD69" s="8">
        <v>1</v>
      </c>
      <c r="AE69" s="8">
        <v>0</v>
      </c>
      <c r="AF69" s="8">
        <v>0</v>
      </c>
      <c r="AG69" s="8">
        <v>2</v>
      </c>
      <c r="AH69" s="8">
        <v>0</v>
      </c>
      <c r="AI69" s="8">
        <v>4</v>
      </c>
      <c r="AJ69" s="8">
        <v>0</v>
      </c>
      <c r="AK69" s="8">
        <v>0</v>
      </c>
      <c r="AL69" s="8">
        <v>3</v>
      </c>
      <c r="AM69" s="8">
        <v>0</v>
      </c>
      <c r="AN69" s="8">
        <v>7</v>
      </c>
      <c r="AO69" s="8">
        <v>0</v>
      </c>
      <c r="AP69" s="8">
        <v>1</v>
      </c>
      <c r="AQ69" s="8">
        <v>2</v>
      </c>
      <c r="AR69" s="8">
        <v>3</v>
      </c>
      <c r="AS69" s="8">
        <v>1</v>
      </c>
      <c r="AT69" s="8">
        <v>0</v>
      </c>
      <c r="AU69" s="8">
        <v>0</v>
      </c>
      <c r="AV69" s="8">
        <v>0</v>
      </c>
      <c r="AW69" s="8">
        <v>0</v>
      </c>
      <c r="AX69" s="8">
        <v>0</v>
      </c>
      <c r="AY69" s="8">
        <v>0</v>
      </c>
      <c r="AZ69" s="8">
        <v>0</v>
      </c>
      <c r="BA69" s="8">
        <v>0</v>
      </c>
      <c r="BB69" s="8">
        <v>0</v>
      </c>
      <c r="BC69" s="8">
        <v>0</v>
      </c>
      <c r="BD69" s="8">
        <v>0</v>
      </c>
      <c r="BE69" s="8">
        <v>3</v>
      </c>
      <c r="BF69" s="8">
        <v>1</v>
      </c>
      <c r="BG69" s="8">
        <v>2</v>
      </c>
      <c r="BH69" s="8">
        <v>2</v>
      </c>
      <c r="BI69" s="8">
        <v>0</v>
      </c>
      <c r="BJ69" s="8">
        <v>1</v>
      </c>
      <c r="BK69" s="8">
        <v>1</v>
      </c>
      <c r="BL69" s="8">
        <v>3</v>
      </c>
      <c r="BM69" s="8">
        <v>3</v>
      </c>
      <c r="BN69" s="8">
        <v>0</v>
      </c>
      <c r="BO69" s="8">
        <v>0</v>
      </c>
      <c r="BP69" s="8">
        <v>0</v>
      </c>
      <c r="BQ69" s="8">
        <v>0</v>
      </c>
      <c r="BR69" s="8">
        <v>0</v>
      </c>
      <c r="BS69" s="8">
        <v>0</v>
      </c>
      <c r="BT69" s="8">
        <v>0</v>
      </c>
      <c r="BU69" s="8">
        <v>0</v>
      </c>
      <c r="BV69" s="8">
        <v>0</v>
      </c>
      <c r="BW69" s="8">
        <v>0</v>
      </c>
      <c r="BX69" s="8">
        <v>0</v>
      </c>
      <c r="BY69" s="8">
        <v>0</v>
      </c>
      <c r="BZ69" s="8">
        <v>0</v>
      </c>
      <c r="CA69" s="8">
        <v>0</v>
      </c>
      <c r="CB69" s="48" t="s">
        <v>77</v>
      </c>
      <c r="CC69" s="8" t="s">
        <v>77</v>
      </c>
      <c r="CD69" s="8" t="s">
        <v>77</v>
      </c>
      <c r="CE69" s="8">
        <v>35</v>
      </c>
      <c r="CF69" s="8">
        <v>15</v>
      </c>
      <c r="CG69" s="8">
        <v>50</v>
      </c>
      <c r="CH69" s="8" t="s">
        <v>77</v>
      </c>
      <c r="CI69" s="8">
        <v>27</v>
      </c>
      <c r="CJ69" s="8" t="s">
        <v>77</v>
      </c>
      <c r="CK69" s="8">
        <v>77</v>
      </c>
      <c r="CL69" s="8" t="s">
        <v>77</v>
      </c>
    </row>
    <row r="72" spans="1:90" x14ac:dyDescent="0.25">
      <c r="A72" t="s">
        <v>205</v>
      </c>
    </row>
    <row r="73" spans="1:90" x14ac:dyDescent="0.25">
      <c r="CD73" s="1" t="s">
        <v>205</v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L75"/>
  <sheetViews>
    <sheetView topLeftCell="A4" workbookViewId="0">
      <selection activeCell="A18" sqref="A18"/>
    </sheetView>
  </sheetViews>
  <sheetFormatPr baseColWidth="10" defaultColWidth="9.109375" defaultRowHeight="13.2" x14ac:dyDescent="0.25"/>
  <cols>
    <col min="1" max="1" width="18.5546875" bestFit="1" customWidth="1"/>
  </cols>
  <sheetData>
    <row r="1" spans="1:90" ht="35.4" customHeight="1" x14ac:dyDescent="0.6">
      <c r="E1" s="91" t="s">
        <v>274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  <c r="BY1" s="92"/>
      <c r="BZ1" s="92"/>
      <c r="CA1" s="92"/>
      <c r="CB1" s="92"/>
      <c r="CC1" s="92"/>
      <c r="CD1" s="92"/>
      <c r="CE1" s="92"/>
      <c r="CF1" s="92"/>
      <c r="CG1" s="92"/>
      <c r="CH1" s="92"/>
      <c r="CI1" s="92"/>
      <c r="CJ1" s="92"/>
      <c r="CK1" s="92"/>
      <c r="CL1" s="92"/>
    </row>
    <row r="2" spans="1:90" x14ac:dyDescent="0.25">
      <c r="A2" s="94" t="s">
        <v>69</v>
      </c>
      <c r="B2" s="94"/>
      <c r="C2" s="96" t="s">
        <v>70</v>
      </c>
      <c r="D2" s="93" t="s">
        <v>71</v>
      </c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3" t="s">
        <v>72</v>
      </c>
      <c r="S2" s="92"/>
      <c r="T2" s="92"/>
      <c r="U2" s="92"/>
      <c r="V2" s="92"/>
      <c r="W2" s="92"/>
      <c r="X2" s="99" t="s">
        <v>73</v>
      </c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92"/>
      <c r="BY2" s="92"/>
      <c r="BZ2" s="92"/>
      <c r="CA2" s="92"/>
      <c r="CB2" s="99" t="s">
        <v>74</v>
      </c>
      <c r="CC2" s="92"/>
      <c r="CD2" s="92"/>
      <c r="CE2" s="92"/>
      <c r="CF2" s="92"/>
      <c r="CG2" s="92"/>
      <c r="CH2" s="92"/>
      <c r="CI2" s="92"/>
      <c r="CJ2" s="92"/>
      <c r="CK2" s="92"/>
      <c r="CL2" s="92"/>
    </row>
    <row r="3" spans="1:90" x14ac:dyDescent="0.25">
      <c r="A3" s="92"/>
      <c r="B3" s="92"/>
      <c r="C3" s="97"/>
      <c r="D3" s="1" t="s">
        <v>75</v>
      </c>
      <c r="E3" s="1" t="s">
        <v>75</v>
      </c>
      <c r="F3" s="1" t="s">
        <v>75</v>
      </c>
      <c r="G3" s="1" t="s">
        <v>75</v>
      </c>
      <c r="H3" s="1" t="s">
        <v>75</v>
      </c>
      <c r="I3" s="1" t="s">
        <v>75</v>
      </c>
      <c r="J3" s="1" t="s">
        <v>75</v>
      </c>
      <c r="L3" s="1" t="s">
        <v>76</v>
      </c>
      <c r="M3" s="1" t="s">
        <v>76</v>
      </c>
      <c r="N3" s="1" t="s">
        <v>76</v>
      </c>
      <c r="O3" s="1" t="s">
        <v>76</v>
      </c>
      <c r="P3" s="1" t="s">
        <v>76</v>
      </c>
      <c r="Q3" s="1" t="s">
        <v>76</v>
      </c>
      <c r="R3" s="1" t="s">
        <v>76</v>
      </c>
      <c r="T3" s="1" t="s">
        <v>75</v>
      </c>
      <c r="U3" s="1" t="s">
        <v>76</v>
      </c>
      <c r="V3" s="1" t="s">
        <v>76</v>
      </c>
      <c r="X3" s="51" t="s">
        <v>75</v>
      </c>
      <c r="Y3" s="1" t="s">
        <v>75</v>
      </c>
      <c r="Z3" s="1" t="s">
        <v>75</v>
      </c>
      <c r="AA3" s="1" t="s">
        <v>75</v>
      </c>
      <c r="AB3" s="1" t="s">
        <v>75</v>
      </c>
      <c r="AC3" s="1" t="s">
        <v>75</v>
      </c>
      <c r="AD3" s="1" t="s">
        <v>75</v>
      </c>
      <c r="AE3" s="1" t="s">
        <v>75</v>
      </c>
      <c r="AF3" s="1" t="s">
        <v>75</v>
      </c>
      <c r="AG3" s="1" t="s">
        <v>75</v>
      </c>
      <c r="AH3" s="1" t="s">
        <v>75</v>
      </c>
      <c r="AI3" s="1" t="s">
        <v>75</v>
      </c>
      <c r="AJ3" s="1" t="s">
        <v>75</v>
      </c>
      <c r="AK3" s="1" t="s">
        <v>75</v>
      </c>
      <c r="AL3" s="1" t="s">
        <v>75</v>
      </c>
      <c r="AM3" s="1" t="s">
        <v>75</v>
      </c>
      <c r="AN3" s="1" t="s">
        <v>75</v>
      </c>
      <c r="AO3" s="1" t="s">
        <v>75</v>
      </c>
      <c r="AP3" s="1" t="s">
        <v>75</v>
      </c>
      <c r="AQ3" s="1" t="s">
        <v>75</v>
      </c>
      <c r="AR3" s="1" t="s">
        <v>75</v>
      </c>
      <c r="AS3" s="1" t="s">
        <v>75</v>
      </c>
      <c r="AT3" s="1" t="s">
        <v>75</v>
      </c>
      <c r="AU3" s="1" t="s">
        <v>75</v>
      </c>
      <c r="AV3" s="1" t="s">
        <v>75</v>
      </c>
      <c r="AW3" s="1" t="s">
        <v>75</v>
      </c>
      <c r="AX3" s="1" t="s">
        <v>75</v>
      </c>
      <c r="AY3" s="1" t="s">
        <v>75</v>
      </c>
      <c r="AZ3" s="1" t="s">
        <v>75</v>
      </c>
      <c r="BA3" s="1" t="s">
        <v>75</v>
      </c>
      <c r="BB3" s="1"/>
      <c r="BC3" s="1"/>
      <c r="BD3" s="1"/>
      <c r="BE3" s="1" t="s">
        <v>76</v>
      </c>
      <c r="BF3" s="1" t="s">
        <v>76</v>
      </c>
      <c r="BG3" s="1" t="s">
        <v>76</v>
      </c>
      <c r="BH3" s="1" t="s">
        <v>76</v>
      </c>
      <c r="BI3" s="1" t="s">
        <v>76</v>
      </c>
      <c r="BJ3" s="1" t="s">
        <v>76</v>
      </c>
      <c r="BK3" s="1" t="s">
        <v>76</v>
      </c>
      <c r="BL3" s="1" t="s">
        <v>76</v>
      </c>
      <c r="BM3" s="1" t="s">
        <v>76</v>
      </c>
      <c r="BN3" s="1" t="s">
        <v>76</v>
      </c>
      <c r="BO3" s="1" t="s">
        <v>76</v>
      </c>
      <c r="BP3" s="1" t="s">
        <v>76</v>
      </c>
      <c r="BQ3" s="1" t="s">
        <v>76</v>
      </c>
      <c r="BR3" s="1" t="s">
        <v>76</v>
      </c>
      <c r="BS3" s="1" t="s">
        <v>76</v>
      </c>
      <c r="BT3" s="1" t="s">
        <v>76</v>
      </c>
      <c r="BU3" s="1" t="s">
        <v>76</v>
      </c>
      <c r="BV3" s="1" t="s">
        <v>76</v>
      </c>
      <c r="BW3" s="1" t="s">
        <v>76</v>
      </c>
      <c r="BX3" s="1" t="s">
        <v>76</v>
      </c>
      <c r="BY3" s="1" t="s">
        <v>76</v>
      </c>
      <c r="BZ3" s="1" t="s">
        <v>76</v>
      </c>
      <c r="CB3" s="41" t="s">
        <v>77</v>
      </c>
      <c r="CC3" s="42"/>
      <c r="CD3" s="42"/>
      <c r="CE3" s="42"/>
      <c r="CF3" s="42"/>
      <c r="CG3" s="42"/>
      <c r="CH3" s="42"/>
      <c r="CI3" s="42"/>
    </row>
    <row r="4" spans="1:90" ht="331.8" customHeight="1" x14ac:dyDescent="0.25">
      <c r="A4" s="95"/>
      <c r="B4" s="95"/>
      <c r="C4" s="98"/>
      <c r="D4" s="52" t="s">
        <v>275</v>
      </c>
      <c r="E4" s="52" t="s">
        <v>276</v>
      </c>
      <c r="F4" s="52" t="s">
        <v>277</v>
      </c>
      <c r="G4" s="53" t="s">
        <v>278</v>
      </c>
      <c r="H4" s="52" t="s">
        <v>279</v>
      </c>
      <c r="I4" s="52" t="s">
        <v>280</v>
      </c>
      <c r="J4" s="52" t="s">
        <v>281</v>
      </c>
      <c r="L4" s="52" t="s">
        <v>282</v>
      </c>
      <c r="M4" s="52" t="s">
        <v>283</v>
      </c>
      <c r="N4" s="52" t="s">
        <v>284</v>
      </c>
      <c r="O4" s="52" t="s">
        <v>285</v>
      </c>
      <c r="P4" s="53" t="s">
        <v>286</v>
      </c>
      <c r="Q4" s="45" t="s">
        <v>287</v>
      </c>
      <c r="R4" s="53" t="s">
        <v>288</v>
      </c>
      <c r="S4" s="43" t="s">
        <v>77</v>
      </c>
      <c r="T4" s="52" t="s">
        <v>289</v>
      </c>
      <c r="U4" s="52" t="s">
        <v>290</v>
      </c>
      <c r="V4" s="52" t="s">
        <v>291</v>
      </c>
      <c r="W4" s="54" t="s">
        <v>77</v>
      </c>
      <c r="X4" s="55" t="s">
        <v>292</v>
      </c>
      <c r="Y4" s="45" t="s">
        <v>293</v>
      </c>
      <c r="Z4" s="45" t="s">
        <v>294</v>
      </c>
      <c r="AA4" s="45" t="s">
        <v>295</v>
      </c>
      <c r="AB4" s="45" t="s">
        <v>296</v>
      </c>
      <c r="AC4" s="45" t="s">
        <v>297</v>
      </c>
      <c r="AD4" s="45" t="s">
        <v>298</v>
      </c>
      <c r="AE4" s="45" t="s">
        <v>299</v>
      </c>
      <c r="AF4" s="45" t="s">
        <v>300</v>
      </c>
      <c r="AG4" s="45" t="s">
        <v>301</v>
      </c>
      <c r="AH4" s="45" t="s">
        <v>302</v>
      </c>
      <c r="AI4" s="45" t="s">
        <v>303</v>
      </c>
      <c r="AJ4" s="45" t="s">
        <v>304</v>
      </c>
      <c r="AK4" s="45" t="s">
        <v>305</v>
      </c>
      <c r="AL4" s="45" t="s">
        <v>306</v>
      </c>
      <c r="AM4" s="45" t="s">
        <v>307</v>
      </c>
      <c r="AN4" s="45" t="s">
        <v>308</v>
      </c>
      <c r="AO4" s="45" t="s">
        <v>309</v>
      </c>
      <c r="AP4" s="45" t="s">
        <v>310</v>
      </c>
      <c r="AQ4" s="45" t="s">
        <v>311</v>
      </c>
      <c r="AR4" s="45" t="s">
        <v>312</v>
      </c>
      <c r="AS4" s="45" t="s">
        <v>313</v>
      </c>
      <c r="AT4" s="45" t="s">
        <v>314</v>
      </c>
      <c r="AU4" s="45" t="s">
        <v>315</v>
      </c>
      <c r="AV4" s="45" t="s">
        <v>316</v>
      </c>
      <c r="AW4" s="45" t="s">
        <v>317</v>
      </c>
      <c r="AX4" s="45" t="s">
        <v>318</v>
      </c>
      <c r="AY4" s="45" t="s">
        <v>319</v>
      </c>
      <c r="AZ4" s="45" t="s">
        <v>320</v>
      </c>
      <c r="BA4" s="45" t="s">
        <v>321</v>
      </c>
      <c r="BB4" s="45"/>
      <c r="BC4" s="45"/>
      <c r="BD4" s="45"/>
      <c r="BE4" s="45" t="s">
        <v>322</v>
      </c>
      <c r="BF4" s="45" t="s">
        <v>323</v>
      </c>
      <c r="BG4" s="45" t="s">
        <v>324</v>
      </c>
      <c r="BH4" s="45" t="s">
        <v>325</v>
      </c>
      <c r="BI4" s="45" t="s">
        <v>326</v>
      </c>
      <c r="BJ4" s="45" t="s">
        <v>327</v>
      </c>
      <c r="BK4" s="45" t="s">
        <v>328</v>
      </c>
      <c r="BL4" s="45" t="s">
        <v>329</v>
      </c>
      <c r="BM4" s="45" t="s">
        <v>330</v>
      </c>
      <c r="BN4" s="45" t="s">
        <v>331</v>
      </c>
      <c r="BO4" s="45" t="s">
        <v>332</v>
      </c>
      <c r="BP4" s="45" t="s">
        <v>333</v>
      </c>
      <c r="BQ4" s="45" t="s">
        <v>334</v>
      </c>
      <c r="BR4" s="45" t="s">
        <v>335</v>
      </c>
      <c r="BS4" s="45" t="s">
        <v>336</v>
      </c>
      <c r="BT4" s="45" t="s">
        <v>337</v>
      </c>
      <c r="BU4" s="45" t="s">
        <v>338</v>
      </c>
      <c r="BV4" s="45" t="s">
        <v>339</v>
      </c>
      <c r="BW4" s="45" t="s">
        <v>340</v>
      </c>
      <c r="BX4" s="45" t="s">
        <v>341</v>
      </c>
      <c r="BY4" s="45" t="s">
        <v>342</v>
      </c>
      <c r="BZ4" s="45" t="s">
        <v>343</v>
      </c>
      <c r="CA4" s="45"/>
      <c r="CB4" s="46" t="s">
        <v>137</v>
      </c>
      <c r="CC4" s="43" t="s">
        <v>138</v>
      </c>
      <c r="CD4" s="43" t="s">
        <v>139</v>
      </c>
      <c r="CE4" s="43" t="s">
        <v>140</v>
      </c>
      <c r="CF4" s="43" t="s">
        <v>141</v>
      </c>
      <c r="CG4" s="43" t="s">
        <v>142</v>
      </c>
      <c r="CH4" s="43" t="s">
        <v>143</v>
      </c>
      <c r="CI4" s="43" t="s">
        <v>144</v>
      </c>
      <c r="CJ4" s="43" t="s">
        <v>145</v>
      </c>
      <c r="CK4" s="43" t="s">
        <v>146</v>
      </c>
      <c r="CL4" s="6" t="s">
        <v>147</v>
      </c>
    </row>
    <row r="5" spans="1:90" x14ac:dyDescent="0.25">
      <c r="A5" t="s">
        <v>148</v>
      </c>
      <c r="B5" t="s">
        <v>149</v>
      </c>
      <c r="C5">
        <v>131</v>
      </c>
      <c r="X5" s="41" t="s">
        <v>77</v>
      </c>
      <c r="CB5" s="41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 s="7">
        <v>131</v>
      </c>
    </row>
    <row r="6" spans="1:90" x14ac:dyDescent="0.25">
      <c r="A6" t="s">
        <v>265</v>
      </c>
      <c r="B6" t="s">
        <v>151</v>
      </c>
      <c r="C6">
        <v>14</v>
      </c>
      <c r="X6" s="41" t="s">
        <v>77</v>
      </c>
      <c r="AT6">
        <v>0</v>
      </c>
      <c r="BE6">
        <v>0</v>
      </c>
      <c r="BG6">
        <v>0</v>
      </c>
      <c r="BI6">
        <v>0</v>
      </c>
      <c r="BJ6">
        <v>0</v>
      </c>
      <c r="BQ6">
        <v>1</v>
      </c>
      <c r="BR6">
        <v>0</v>
      </c>
      <c r="BS6">
        <v>0</v>
      </c>
      <c r="BT6">
        <v>0</v>
      </c>
      <c r="CB6" s="41">
        <v>1</v>
      </c>
      <c r="CC6">
        <v>8</v>
      </c>
      <c r="CD6">
        <v>9</v>
      </c>
      <c r="CE6">
        <v>0</v>
      </c>
      <c r="CF6">
        <v>1</v>
      </c>
      <c r="CG6">
        <v>1</v>
      </c>
      <c r="CH6">
        <v>0</v>
      </c>
      <c r="CI6">
        <v>0</v>
      </c>
      <c r="CJ6">
        <v>9</v>
      </c>
      <c r="CK6">
        <v>1</v>
      </c>
      <c r="CL6" s="7">
        <v>23</v>
      </c>
    </row>
    <row r="7" spans="1:90" x14ac:dyDescent="0.25">
      <c r="A7" t="s">
        <v>266</v>
      </c>
      <c r="B7" t="s">
        <v>151</v>
      </c>
      <c r="C7">
        <v>382</v>
      </c>
      <c r="X7" s="41" t="s">
        <v>77</v>
      </c>
      <c r="CB7" s="41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 s="7">
        <v>382</v>
      </c>
    </row>
    <row r="8" spans="1:90" x14ac:dyDescent="0.25">
      <c r="A8" t="s">
        <v>152</v>
      </c>
      <c r="B8" t="s">
        <v>149</v>
      </c>
      <c r="C8" s="56">
        <v>265</v>
      </c>
      <c r="X8" s="41" t="s">
        <v>77</v>
      </c>
      <c r="BZ8">
        <v>0</v>
      </c>
      <c r="CB8" s="41">
        <v>0</v>
      </c>
      <c r="CC8">
        <v>1</v>
      </c>
      <c r="CD8">
        <v>1</v>
      </c>
      <c r="CE8">
        <v>0</v>
      </c>
      <c r="CF8">
        <v>0</v>
      </c>
      <c r="CG8">
        <v>0</v>
      </c>
      <c r="CH8">
        <v>0</v>
      </c>
      <c r="CI8">
        <v>0</v>
      </c>
      <c r="CJ8">
        <v>1</v>
      </c>
      <c r="CK8">
        <v>0</v>
      </c>
      <c r="CL8" s="7">
        <v>266</v>
      </c>
    </row>
    <row r="9" spans="1:90" x14ac:dyDescent="0.25">
      <c r="A9" t="s">
        <v>153</v>
      </c>
      <c r="B9" t="s">
        <v>149</v>
      </c>
      <c r="C9" s="56">
        <v>273</v>
      </c>
      <c r="X9" s="41" t="s">
        <v>77</v>
      </c>
      <c r="CB9" s="41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 s="7">
        <v>273</v>
      </c>
    </row>
    <row r="10" spans="1:90" x14ac:dyDescent="0.25">
      <c r="A10" t="s">
        <v>154</v>
      </c>
      <c r="B10" t="s">
        <v>149</v>
      </c>
      <c r="C10" s="56">
        <v>137</v>
      </c>
      <c r="X10" s="41" t="s">
        <v>77</v>
      </c>
      <c r="CB10" s="41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 s="7">
        <v>137</v>
      </c>
    </row>
    <row r="11" spans="1:90" x14ac:dyDescent="0.25">
      <c r="A11" t="s">
        <v>20</v>
      </c>
      <c r="B11" t="s">
        <v>151</v>
      </c>
      <c r="C11">
        <v>37</v>
      </c>
      <c r="J11">
        <v>0</v>
      </c>
      <c r="L11">
        <v>0</v>
      </c>
      <c r="M11">
        <v>0</v>
      </c>
      <c r="Q11">
        <v>0</v>
      </c>
      <c r="X11" s="41" t="s">
        <v>77</v>
      </c>
      <c r="AC11">
        <v>0</v>
      </c>
      <c r="AN11">
        <v>0</v>
      </c>
      <c r="BE11">
        <v>0</v>
      </c>
      <c r="BF11">
        <v>0</v>
      </c>
      <c r="BG11">
        <v>1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0</v>
      </c>
      <c r="BO11">
        <v>0</v>
      </c>
      <c r="BP11">
        <v>0</v>
      </c>
      <c r="BU11">
        <v>0</v>
      </c>
      <c r="BV11">
        <v>0</v>
      </c>
      <c r="BW11">
        <v>0</v>
      </c>
      <c r="BX11">
        <v>0</v>
      </c>
      <c r="CB11" s="41">
        <v>2</v>
      </c>
      <c r="CC11">
        <v>16</v>
      </c>
      <c r="CD11">
        <v>18</v>
      </c>
      <c r="CE11">
        <v>0</v>
      </c>
      <c r="CF11">
        <v>3</v>
      </c>
      <c r="CG11">
        <v>3</v>
      </c>
      <c r="CH11">
        <v>4</v>
      </c>
      <c r="CI11">
        <v>0</v>
      </c>
      <c r="CJ11">
        <v>22</v>
      </c>
      <c r="CK11">
        <v>3</v>
      </c>
      <c r="CL11" s="7">
        <v>59</v>
      </c>
    </row>
    <row r="12" spans="1:90" x14ac:dyDescent="0.25">
      <c r="A12" t="s">
        <v>155</v>
      </c>
      <c r="B12" t="s">
        <v>149</v>
      </c>
      <c r="C12">
        <v>68</v>
      </c>
      <c r="D12">
        <v>0</v>
      </c>
      <c r="E12">
        <v>0</v>
      </c>
      <c r="F12">
        <v>0</v>
      </c>
      <c r="H12">
        <v>0</v>
      </c>
      <c r="L12">
        <v>0</v>
      </c>
      <c r="N12">
        <v>0</v>
      </c>
      <c r="T12">
        <v>0</v>
      </c>
      <c r="V12">
        <v>0</v>
      </c>
      <c r="X12" s="41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M12">
        <v>0</v>
      </c>
      <c r="AN12">
        <v>0</v>
      </c>
      <c r="AY12">
        <v>0</v>
      </c>
      <c r="BA12">
        <v>0</v>
      </c>
      <c r="BH12">
        <v>0</v>
      </c>
      <c r="BI12">
        <v>0</v>
      </c>
      <c r="BJ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U12">
        <v>0</v>
      </c>
      <c r="BV12">
        <v>1</v>
      </c>
      <c r="BW12">
        <v>0</v>
      </c>
      <c r="BX12">
        <v>0</v>
      </c>
      <c r="BY12">
        <v>0</v>
      </c>
      <c r="CB12" s="41">
        <v>11</v>
      </c>
      <c r="CC12">
        <v>13</v>
      </c>
      <c r="CD12">
        <v>24</v>
      </c>
      <c r="CE12">
        <v>0</v>
      </c>
      <c r="CF12">
        <v>1</v>
      </c>
      <c r="CG12">
        <v>1</v>
      </c>
      <c r="CH12">
        <v>8</v>
      </c>
      <c r="CI12">
        <v>0</v>
      </c>
      <c r="CJ12">
        <v>32</v>
      </c>
      <c r="CK12">
        <v>1</v>
      </c>
      <c r="CL12" s="7">
        <v>100</v>
      </c>
    </row>
    <row r="13" spans="1:90" x14ac:dyDescent="0.25">
      <c r="A13" t="s">
        <v>156</v>
      </c>
      <c r="B13" t="s">
        <v>149</v>
      </c>
      <c r="C13" s="56">
        <v>391</v>
      </c>
      <c r="D13">
        <v>0</v>
      </c>
      <c r="E13">
        <v>0</v>
      </c>
      <c r="F13">
        <v>0</v>
      </c>
      <c r="H13">
        <v>0</v>
      </c>
      <c r="I13">
        <v>0</v>
      </c>
      <c r="J13">
        <v>0</v>
      </c>
      <c r="L13" s="1">
        <v>0</v>
      </c>
      <c r="M13">
        <v>0</v>
      </c>
      <c r="X13" s="41" t="s">
        <v>77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O13">
        <v>0</v>
      </c>
      <c r="AP13">
        <v>0</v>
      </c>
      <c r="AQ13">
        <v>0</v>
      </c>
      <c r="AR13">
        <v>0</v>
      </c>
      <c r="AW13">
        <v>0</v>
      </c>
      <c r="BW13">
        <v>0</v>
      </c>
      <c r="BY13">
        <v>0</v>
      </c>
      <c r="BZ13">
        <v>0</v>
      </c>
      <c r="CB13" s="41">
        <v>18</v>
      </c>
      <c r="CC13">
        <v>3</v>
      </c>
      <c r="CD13">
        <v>21</v>
      </c>
      <c r="CE13">
        <v>0</v>
      </c>
      <c r="CF13">
        <v>0</v>
      </c>
      <c r="CG13">
        <v>0</v>
      </c>
      <c r="CH13">
        <v>8</v>
      </c>
      <c r="CI13">
        <v>0</v>
      </c>
      <c r="CJ13">
        <v>29</v>
      </c>
      <c r="CK13">
        <v>0</v>
      </c>
      <c r="CL13" s="7">
        <v>420</v>
      </c>
    </row>
    <row r="14" spans="1:90" x14ac:dyDescent="0.25">
      <c r="A14" t="s">
        <v>157</v>
      </c>
      <c r="B14" t="s">
        <v>151</v>
      </c>
      <c r="C14">
        <v>25</v>
      </c>
      <c r="X14" s="41" t="s">
        <v>77</v>
      </c>
      <c r="CB14" s="41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 s="7">
        <v>25</v>
      </c>
    </row>
    <row r="15" spans="1:90" x14ac:dyDescent="0.25">
      <c r="A15" t="s">
        <v>267</v>
      </c>
      <c r="B15" t="s">
        <v>149</v>
      </c>
      <c r="C15">
        <v>25</v>
      </c>
      <c r="L15">
        <v>0</v>
      </c>
      <c r="M15">
        <v>0</v>
      </c>
      <c r="O15">
        <v>2</v>
      </c>
      <c r="Q15">
        <v>0</v>
      </c>
      <c r="T15">
        <v>0</v>
      </c>
      <c r="V15">
        <v>1</v>
      </c>
      <c r="X15" s="41" t="s">
        <v>77</v>
      </c>
      <c r="BE15">
        <v>0</v>
      </c>
      <c r="BF15">
        <v>0</v>
      </c>
      <c r="BH15">
        <v>0</v>
      </c>
      <c r="BI15">
        <v>0</v>
      </c>
      <c r="BK15">
        <v>1</v>
      </c>
      <c r="BL15">
        <v>0</v>
      </c>
      <c r="BM15">
        <v>0</v>
      </c>
      <c r="BN15">
        <v>0</v>
      </c>
      <c r="BP15">
        <v>0</v>
      </c>
      <c r="BZ15">
        <v>0</v>
      </c>
      <c r="CB15" s="41">
        <v>0</v>
      </c>
      <c r="CC15">
        <v>10</v>
      </c>
      <c r="CD15">
        <v>10</v>
      </c>
      <c r="CE15">
        <v>0</v>
      </c>
      <c r="CF15">
        <v>1</v>
      </c>
      <c r="CG15">
        <v>1</v>
      </c>
      <c r="CH15">
        <v>6</v>
      </c>
      <c r="CI15">
        <v>3</v>
      </c>
      <c r="CJ15">
        <v>16</v>
      </c>
      <c r="CK15">
        <v>4</v>
      </c>
      <c r="CL15" s="7">
        <v>41</v>
      </c>
    </row>
    <row r="16" spans="1:90" x14ac:dyDescent="0.25">
      <c r="A16" t="s">
        <v>158</v>
      </c>
      <c r="B16" t="s">
        <v>151</v>
      </c>
      <c r="C16">
        <v>218</v>
      </c>
      <c r="V16">
        <v>0</v>
      </c>
      <c r="X16" s="41" t="s">
        <v>77</v>
      </c>
      <c r="BF16">
        <v>0</v>
      </c>
      <c r="BJ16">
        <v>0</v>
      </c>
      <c r="BO16">
        <v>0</v>
      </c>
      <c r="BS16">
        <v>0</v>
      </c>
      <c r="BT16">
        <v>0</v>
      </c>
      <c r="BX16">
        <v>0</v>
      </c>
      <c r="BY16">
        <v>0</v>
      </c>
      <c r="BZ16">
        <v>0</v>
      </c>
      <c r="CB16" s="41">
        <v>0</v>
      </c>
      <c r="CC16">
        <v>8</v>
      </c>
      <c r="CD16">
        <v>8</v>
      </c>
      <c r="CE16">
        <v>0</v>
      </c>
      <c r="CF16">
        <v>0</v>
      </c>
      <c r="CG16">
        <v>0</v>
      </c>
      <c r="CH16">
        <v>1</v>
      </c>
      <c r="CI16">
        <v>0</v>
      </c>
      <c r="CJ16">
        <v>9</v>
      </c>
      <c r="CK16">
        <v>0</v>
      </c>
      <c r="CL16" s="7">
        <v>227</v>
      </c>
    </row>
    <row r="17" spans="1:90" x14ac:dyDescent="0.25">
      <c r="A17" t="s">
        <v>268</v>
      </c>
      <c r="B17" t="s">
        <v>151</v>
      </c>
      <c r="C17">
        <v>25</v>
      </c>
      <c r="L17" s="1">
        <v>0</v>
      </c>
      <c r="M17">
        <v>0</v>
      </c>
      <c r="O17">
        <v>0</v>
      </c>
      <c r="Q17">
        <v>0</v>
      </c>
      <c r="V17">
        <v>0</v>
      </c>
      <c r="X17" s="41" t="s">
        <v>77</v>
      </c>
      <c r="AT17">
        <v>0</v>
      </c>
      <c r="AU17">
        <v>0</v>
      </c>
      <c r="BA17">
        <v>0</v>
      </c>
      <c r="BE17">
        <v>0</v>
      </c>
      <c r="BF17">
        <v>0</v>
      </c>
      <c r="BG17">
        <v>1</v>
      </c>
      <c r="BH17">
        <v>2</v>
      </c>
      <c r="BI17">
        <v>0</v>
      </c>
      <c r="BK17">
        <v>0</v>
      </c>
      <c r="BL17">
        <v>0</v>
      </c>
      <c r="BM17">
        <v>1</v>
      </c>
      <c r="BN17">
        <v>0</v>
      </c>
      <c r="BP17">
        <v>0</v>
      </c>
      <c r="BQ17">
        <v>0</v>
      </c>
      <c r="BR17">
        <v>0</v>
      </c>
      <c r="BS17">
        <v>2</v>
      </c>
      <c r="BV17">
        <v>0</v>
      </c>
      <c r="BW17">
        <v>0</v>
      </c>
      <c r="BX17">
        <v>0</v>
      </c>
      <c r="BY17">
        <v>0</v>
      </c>
      <c r="CB17" s="41">
        <v>3</v>
      </c>
      <c r="CC17">
        <v>17</v>
      </c>
      <c r="CD17">
        <v>20</v>
      </c>
      <c r="CE17">
        <v>0</v>
      </c>
      <c r="CF17">
        <v>6</v>
      </c>
      <c r="CG17">
        <v>6</v>
      </c>
      <c r="CH17">
        <v>5</v>
      </c>
      <c r="CI17">
        <v>0</v>
      </c>
      <c r="CJ17">
        <v>25</v>
      </c>
      <c r="CK17">
        <v>6</v>
      </c>
      <c r="CL17" s="7">
        <v>50</v>
      </c>
    </row>
    <row r="18" spans="1:90" x14ac:dyDescent="0.25">
      <c r="A18" t="s">
        <v>159</v>
      </c>
      <c r="B18" t="s">
        <v>151</v>
      </c>
      <c r="C18">
        <v>56</v>
      </c>
      <c r="D18">
        <v>0</v>
      </c>
      <c r="E18">
        <v>0</v>
      </c>
      <c r="F18">
        <v>0</v>
      </c>
      <c r="H18">
        <v>0</v>
      </c>
      <c r="I18" s="1">
        <v>0</v>
      </c>
      <c r="J18" s="1">
        <v>0</v>
      </c>
      <c r="X18" s="41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S18">
        <v>0</v>
      </c>
      <c r="AT18">
        <v>1</v>
      </c>
      <c r="AU18">
        <v>0</v>
      </c>
      <c r="AV18">
        <v>0</v>
      </c>
      <c r="AW18">
        <v>0</v>
      </c>
      <c r="AX18">
        <v>0</v>
      </c>
      <c r="AY18">
        <v>1</v>
      </c>
      <c r="AZ18">
        <v>0</v>
      </c>
      <c r="CB18" s="41">
        <v>28</v>
      </c>
      <c r="CC18">
        <v>0</v>
      </c>
      <c r="CD18">
        <v>28</v>
      </c>
      <c r="CE18">
        <v>3</v>
      </c>
      <c r="CF18">
        <v>0</v>
      </c>
      <c r="CG18">
        <v>3</v>
      </c>
      <c r="CH18">
        <v>6</v>
      </c>
      <c r="CI18">
        <v>0</v>
      </c>
      <c r="CJ18">
        <v>34</v>
      </c>
      <c r="CK18">
        <v>3</v>
      </c>
      <c r="CL18" s="7">
        <v>90</v>
      </c>
    </row>
    <row r="19" spans="1:90" x14ac:dyDescent="0.25">
      <c r="A19" t="s">
        <v>160</v>
      </c>
      <c r="B19" t="s">
        <v>151</v>
      </c>
      <c r="C19">
        <v>383</v>
      </c>
      <c r="X19" s="41" t="s">
        <v>77</v>
      </c>
      <c r="BQ19">
        <v>0</v>
      </c>
      <c r="BZ19">
        <v>0</v>
      </c>
      <c r="CB19" s="41">
        <v>0</v>
      </c>
      <c r="CC19">
        <v>2</v>
      </c>
      <c r="CD19">
        <v>2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2</v>
      </c>
      <c r="CK19">
        <v>0</v>
      </c>
      <c r="CL19" s="7">
        <v>385</v>
      </c>
    </row>
    <row r="20" spans="1:90" x14ac:dyDescent="0.25">
      <c r="A20" t="s">
        <v>161</v>
      </c>
      <c r="B20" t="s">
        <v>151</v>
      </c>
      <c r="C20">
        <v>199</v>
      </c>
      <c r="H20">
        <v>0</v>
      </c>
      <c r="I20">
        <v>0</v>
      </c>
      <c r="J20">
        <v>0</v>
      </c>
      <c r="L20" s="1">
        <v>0</v>
      </c>
      <c r="N20">
        <v>0</v>
      </c>
      <c r="Q20">
        <v>0</v>
      </c>
      <c r="T20">
        <v>0</v>
      </c>
      <c r="X20" s="41">
        <v>0</v>
      </c>
      <c r="Y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1</v>
      </c>
      <c r="BA20">
        <v>0</v>
      </c>
      <c r="CB20" s="41">
        <v>28</v>
      </c>
      <c r="CC20">
        <v>0</v>
      </c>
      <c r="CD20">
        <v>28</v>
      </c>
      <c r="CE20">
        <v>2</v>
      </c>
      <c r="CF20">
        <v>0</v>
      </c>
      <c r="CG20">
        <v>2</v>
      </c>
      <c r="CH20">
        <v>7</v>
      </c>
      <c r="CI20">
        <v>0</v>
      </c>
      <c r="CJ20">
        <v>35</v>
      </c>
      <c r="CK20">
        <v>2</v>
      </c>
      <c r="CL20" s="7">
        <v>234</v>
      </c>
    </row>
    <row r="21" spans="1:90" x14ac:dyDescent="0.25">
      <c r="A21" t="s">
        <v>162</v>
      </c>
      <c r="B21" t="s">
        <v>151</v>
      </c>
      <c r="C21">
        <v>167</v>
      </c>
      <c r="X21" s="41" t="s">
        <v>77</v>
      </c>
      <c r="CB21" s="4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 s="7">
        <v>167</v>
      </c>
    </row>
    <row r="22" spans="1:90" x14ac:dyDescent="0.25">
      <c r="A22" t="s">
        <v>269</v>
      </c>
      <c r="B22" t="s">
        <v>149</v>
      </c>
      <c r="C22">
        <v>8</v>
      </c>
      <c r="X22" s="41" t="s">
        <v>77</v>
      </c>
      <c r="CB22" s="41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 s="7">
        <v>8</v>
      </c>
    </row>
    <row r="23" spans="1:90" x14ac:dyDescent="0.25">
      <c r="A23" t="s">
        <v>270</v>
      </c>
      <c r="B23" t="s">
        <v>149</v>
      </c>
      <c r="C23">
        <v>27</v>
      </c>
      <c r="L23">
        <v>0</v>
      </c>
      <c r="M23">
        <v>0</v>
      </c>
      <c r="N23">
        <v>0</v>
      </c>
      <c r="O23">
        <v>0</v>
      </c>
      <c r="X23" s="41" t="s">
        <v>77</v>
      </c>
      <c r="BE23">
        <v>0</v>
      </c>
      <c r="CB23" s="41">
        <v>0</v>
      </c>
      <c r="CC23">
        <v>1</v>
      </c>
      <c r="CD23">
        <v>1</v>
      </c>
      <c r="CE23">
        <v>0</v>
      </c>
      <c r="CF23">
        <v>0</v>
      </c>
      <c r="CG23">
        <v>0</v>
      </c>
      <c r="CH23">
        <v>4</v>
      </c>
      <c r="CI23">
        <v>0</v>
      </c>
      <c r="CJ23">
        <v>5</v>
      </c>
      <c r="CK23">
        <v>0</v>
      </c>
      <c r="CL23" s="7">
        <v>32</v>
      </c>
    </row>
    <row r="24" spans="1:90" x14ac:dyDescent="0.25">
      <c r="A24" t="s">
        <v>163</v>
      </c>
      <c r="B24" t="s">
        <v>151</v>
      </c>
      <c r="C24">
        <v>400</v>
      </c>
      <c r="X24" s="41" t="s">
        <v>77</v>
      </c>
      <c r="BJ24">
        <v>0</v>
      </c>
      <c r="CB24" s="41">
        <v>0</v>
      </c>
      <c r="CC24">
        <v>1</v>
      </c>
      <c r="CD24">
        <v>1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1</v>
      </c>
      <c r="CK24">
        <v>0</v>
      </c>
      <c r="CL24" s="7">
        <v>401</v>
      </c>
    </row>
    <row r="25" spans="1:90" x14ac:dyDescent="0.25">
      <c r="A25" t="s">
        <v>164</v>
      </c>
      <c r="B25" t="s">
        <v>151</v>
      </c>
      <c r="C25">
        <v>40</v>
      </c>
      <c r="Q25">
        <v>0</v>
      </c>
      <c r="X25" s="41" t="s">
        <v>77</v>
      </c>
      <c r="CB25" s="41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1</v>
      </c>
      <c r="CI25">
        <v>0</v>
      </c>
      <c r="CJ25">
        <v>1</v>
      </c>
      <c r="CK25">
        <v>0</v>
      </c>
      <c r="CL25" s="7">
        <v>41</v>
      </c>
    </row>
    <row r="26" spans="1:90" x14ac:dyDescent="0.25">
      <c r="A26" t="s">
        <v>165</v>
      </c>
      <c r="B26" t="s">
        <v>149</v>
      </c>
      <c r="C26">
        <v>125</v>
      </c>
      <c r="D26">
        <v>0</v>
      </c>
      <c r="E26">
        <v>0</v>
      </c>
      <c r="F26">
        <v>0</v>
      </c>
      <c r="H26">
        <v>0</v>
      </c>
      <c r="I26" s="1">
        <v>0</v>
      </c>
      <c r="J26" s="1">
        <v>0</v>
      </c>
      <c r="L26" s="1">
        <v>0</v>
      </c>
      <c r="O26">
        <v>0</v>
      </c>
      <c r="X26" s="41" t="s">
        <v>77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J26">
        <v>0</v>
      </c>
      <c r="AK26">
        <v>0</v>
      </c>
      <c r="AL26">
        <v>0</v>
      </c>
      <c r="AN26">
        <v>0</v>
      </c>
      <c r="AO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E26">
        <v>0</v>
      </c>
      <c r="BL26">
        <v>0</v>
      </c>
      <c r="BN26">
        <v>0</v>
      </c>
      <c r="BP26">
        <v>0</v>
      </c>
      <c r="CB26" s="41">
        <v>22</v>
      </c>
      <c r="CC26">
        <v>4</v>
      </c>
      <c r="CD26">
        <v>26</v>
      </c>
      <c r="CE26">
        <v>0</v>
      </c>
      <c r="CF26">
        <v>0</v>
      </c>
      <c r="CG26">
        <v>0</v>
      </c>
      <c r="CH26">
        <v>8</v>
      </c>
      <c r="CI26">
        <v>0</v>
      </c>
      <c r="CJ26">
        <v>34</v>
      </c>
      <c r="CK26">
        <v>0</v>
      </c>
      <c r="CL26" s="7">
        <v>159</v>
      </c>
    </row>
    <row r="27" spans="1:90" x14ac:dyDescent="0.25">
      <c r="A27" t="s">
        <v>166</v>
      </c>
      <c r="B27" t="s">
        <v>151</v>
      </c>
      <c r="C27">
        <v>19</v>
      </c>
      <c r="X27" s="41" t="s">
        <v>77</v>
      </c>
      <c r="CB27" s="41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 s="7">
        <v>19</v>
      </c>
    </row>
    <row r="28" spans="1:90" x14ac:dyDescent="0.25">
      <c r="A28" t="s">
        <v>167</v>
      </c>
      <c r="B28" t="s">
        <v>151</v>
      </c>
      <c r="C28">
        <v>6</v>
      </c>
      <c r="X28" s="41" t="s">
        <v>77</v>
      </c>
      <c r="CB28" s="41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 s="7">
        <v>6</v>
      </c>
    </row>
    <row r="29" spans="1:90" x14ac:dyDescent="0.25">
      <c r="A29" t="s">
        <v>168</v>
      </c>
      <c r="B29" t="s">
        <v>151</v>
      </c>
      <c r="C29">
        <v>112</v>
      </c>
      <c r="E29">
        <v>0</v>
      </c>
      <c r="F29">
        <v>0</v>
      </c>
      <c r="J29">
        <v>0</v>
      </c>
      <c r="M29">
        <v>0</v>
      </c>
      <c r="Q29">
        <v>0</v>
      </c>
      <c r="X29" s="41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N29">
        <v>0</v>
      </c>
      <c r="AO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K29">
        <v>1</v>
      </c>
      <c r="BL29">
        <v>0</v>
      </c>
      <c r="BM29">
        <v>1</v>
      </c>
      <c r="BN29">
        <v>0</v>
      </c>
      <c r="BO29">
        <v>1</v>
      </c>
      <c r="BR29">
        <v>0</v>
      </c>
      <c r="CB29" s="41">
        <v>19</v>
      </c>
      <c r="CC29">
        <v>6</v>
      </c>
      <c r="CD29">
        <v>25</v>
      </c>
      <c r="CE29">
        <v>0</v>
      </c>
      <c r="CF29">
        <v>3</v>
      </c>
      <c r="CG29">
        <v>3</v>
      </c>
      <c r="CH29">
        <v>5</v>
      </c>
      <c r="CI29">
        <v>0</v>
      </c>
      <c r="CJ29">
        <v>30</v>
      </c>
      <c r="CK29">
        <v>3</v>
      </c>
      <c r="CL29" s="7">
        <v>142</v>
      </c>
    </row>
    <row r="30" spans="1:90" x14ac:dyDescent="0.25">
      <c r="A30" s="1" t="s">
        <v>344</v>
      </c>
      <c r="B30" s="1" t="s">
        <v>149</v>
      </c>
      <c r="C30">
        <v>1</v>
      </c>
      <c r="H30">
        <v>0</v>
      </c>
      <c r="L30">
        <v>0</v>
      </c>
      <c r="M30">
        <v>0</v>
      </c>
      <c r="O30">
        <v>0</v>
      </c>
      <c r="V30">
        <v>0</v>
      </c>
      <c r="X30" s="41" t="s">
        <v>77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B30" s="41">
        <v>0</v>
      </c>
      <c r="CC30">
        <v>21</v>
      </c>
      <c r="CD30">
        <v>21</v>
      </c>
      <c r="CE30">
        <v>0</v>
      </c>
      <c r="CF30">
        <v>0</v>
      </c>
      <c r="CG30">
        <v>0</v>
      </c>
      <c r="CH30">
        <v>5</v>
      </c>
      <c r="CI30">
        <v>0</v>
      </c>
      <c r="CJ30">
        <v>26</v>
      </c>
      <c r="CK30">
        <v>0</v>
      </c>
      <c r="CL30" s="7">
        <v>27</v>
      </c>
    </row>
    <row r="31" spans="1:90" x14ac:dyDescent="0.25">
      <c r="A31" t="s">
        <v>169</v>
      </c>
      <c r="B31" t="s">
        <v>151</v>
      </c>
      <c r="C31">
        <v>245</v>
      </c>
      <c r="X31" s="41" t="s">
        <v>77</v>
      </c>
      <c r="CB31" s="4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 s="7">
        <v>245</v>
      </c>
    </row>
    <row r="32" spans="1:90" x14ac:dyDescent="0.25">
      <c r="A32" t="s">
        <v>170</v>
      </c>
      <c r="B32" t="s">
        <v>151</v>
      </c>
      <c r="C32">
        <v>339</v>
      </c>
      <c r="X32" s="41" t="s">
        <v>77</v>
      </c>
      <c r="CB32" s="41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 s="7">
        <v>339</v>
      </c>
    </row>
    <row r="33" spans="1:90" x14ac:dyDescent="0.25">
      <c r="A33" t="s">
        <v>171</v>
      </c>
      <c r="B33" t="s">
        <v>151</v>
      </c>
      <c r="C33">
        <v>276</v>
      </c>
      <c r="X33" s="41" t="s">
        <v>77</v>
      </c>
      <c r="CB33" s="41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 s="7">
        <v>276</v>
      </c>
    </row>
    <row r="34" spans="1:90" x14ac:dyDescent="0.25">
      <c r="A34" t="s">
        <v>172</v>
      </c>
      <c r="B34" t="s">
        <v>151</v>
      </c>
      <c r="C34">
        <v>456</v>
      </c>
      <c r="N34">
        <v>0</v>
      </c>
      <c r="T34">
        <v>0</v>
      </c>
      <c r="X34" s="41">
        <v>0</v>
      </c>
      <c r="Y34">
        <v>1</v>
      </c>
      <c r="Z34">
        <v>0</v>
      </c>
      <c r="AA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1</v>
      </c>
      <c r="AK34">
        <v>1</v>
      </c>
      <c r="AL34">
        <v>0</v>
      </c>
      <c r="AM34">
        <v>2</v>
      </c>
      <c r="BG34">
        <v>0</v>
      </c>
      <c r="CB34" s="41">
        <v>14</v>
      </c>
      <c r="CC34">
        <v>1</v>
      </c>
      <c r="CD34">
        <v>15</v>
      </c>
      <c r="CE34">
        <v>6</v>
      </c>
      <c r="CF34">
        <v>0</v>
      </c>
      <c r="CG34">
        <v>6</v>
      </c>
      <c r="CH34">
        <v>2</v>
      </c>
      <c r="CI34">
        <v>0</v>
      </c>
      <c r="CJ34">
        <v>17</v>
      </c>
      <c r="CK34">
        <v>6</v>
      </c>
      <c r="CL34" s="7">
        <v>473</v>
      </c>
    </row>
    <row r="35" spans="1:90" x14ac:dyDescent="0.25">
      <c r="A35" t="s">
        <v>173</v>
      </c>
      <c r="B35" t="s">
        <v>151</v>
      </c>
      <c r="C35">
        <v>355</v>
      </c>
      <c r="X35" s="41" t="s">
        <v>77</v>
      </c>
      <c r="BZ35">
        <v>0</v>
      </c>
      <c r="CB35" s="41">
        <v>0</v>
      </c>
      <c r="CC35">
        <v>1</v>
      </c>
      <c r="CD35">
        <v>1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1</v>
      </c>
      <c r="CK35">
        <v>0</v>
      </c>
      <c r="CL35" s="7">
        <v>356</v>
      </c>
    </row>
    <row r="36" spans="1:90" x14ac:dyDescent="0.25">
      <c r="A36" t="s">
        <v>174</v>
      </c>
      <c r="B36" t="s">
        <v>151</v>
      </c>
      <c r="C36">
        <v>216</v>
      </c>
      <c r="X36" s="41" t="s">
        <v>77</v>
      </c>
      <c r="CB36" s="41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 s="7">
        <v>216</v>
      </c>
    </row>
    <row r="37" spans="1:90" x14ac:dyDescent="0.25">
      <c r="A37" t="s">
        <v>345</v>
      </c>
      <c r="C37">
        <v>0</v>
      </c>
      <c r="X37" s="41" t="s">
        <v>77</v>
      </c>
      <c r="BZ37">
        <v>0</v>
      </c>
      <c r="CB37" s="41">
        <v>0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1</v>
      </c>
      <c r="CK37">
        <v>0</v>
      </c>
      <c r="CL37" s="7">
        <v>1</v>
      </c>
    </row>
    <row r="38" spans="1:90" x14ac:dyDescent="0.25">
      <c r="A38" t="s">
        <v>175</v>
      </c>
      <c r="B38" t="s">
        <v>151</v>
      </c>
      <c r="C38">
        <v>253</v>
      </c>
      <c r="X38" s="41" t="s">
        <v>77</v>
      </c>
      <c r="CB38" s="41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 s="7">
        <v>253</v>
      </c>
    </row>
    <row r="39" spans="1:90" x14ac:dyDescent="0.25">
      <c r="A39" t="s">
        <v>346</v>
      </c>
      <c r="C39">
        <v>2</v>
      </c>
      <c r="L39">
        <v>0</v>
      </c>
      <c r="O39">
        <v>0</v>
      </c>
      <c r="Q39">
        <v>0</v>
      </c>
      <c r="X39" s="41" t="s">
        <v>77</v>
      </c>
      <c r="AC39">
        <v>0</v>
      </c>
      <c r="AU39">
        <v>0</v>
      </c>
      <c r="AX39">
        <v>0</v>
      </c>
      <c r="AZ39">
        <v>0</v>
      </c>
      <c r="BA39">
        <v>0</v>
      </c>
      <c r="BF39">
        <v>0</v>
      </c>
      <c r="BH39">
        <v>0</v>
      </c>
      <c r="BK39">
        <v>0</v>
      </c>
      <c r="BM39">
        <v>0</v>
      </c>
      <c r="BN39">
        <v>0</v>
      </c>
      <c r="BO39">
        <v>1</v>
      </c>
      <c r="BP39">
        <v>0</v>
      </c>
      <c r="BQ39">
        <v>1</v>
      </c>
      <c r="BS39">
        <v>1</v>
      </c>
      <c r="BT39">
        <v>0</v>
      </c>
      <c r="BV39">
        <v>0</v>
      </c>
      <c r="CB39" s="41">
        <v>5</v>
      </c>
      <c r="CC39">
        <v>11</v>
      </c>
      <c r="CD39">
        <v>16</v>
      </c>
      <c r="CE39">
        <v>0</v>
      </c>
      <c r="CF39">
        <v>3</v>
      </c>
      <c r="CG39">
        <v>3</v>
      </c>
      <c r="CH39">
        <v>3</v>
      </c>
      <c r="CI39">
        <v>0</v>
      </c>
      <c r="CJ39">
        <v>19</v>
      </c>
      <c r="CK39">
        <v>3</v>
      </c>
      <c r="CL39" s="7">
        <v>21</v>
      </c>
    </row>
    <row r="40" spans="1:90" x14ac:dyDescent="0.25">
      <c r="A40" t="s">
        <v>176</v>
      </c>
      <c r="B40" t="s">
        <v>151</v>
      </c>
      <c r="C40">
        <v>156</v>
      </c>
      <c r="J40">
        <v>0</v>
      </c>
      <c r="L40">
        <v>0</v>
      </c>
      <c r="N40">
        <v>0</v>
      </c>
      <c r="O40">
        <v>0</v>
      </c>
      <c r="Q40">
        <v>0</v>
      </c>
      <c r="T40">
        <v>0</v>
      </c>
      <c r="X40" s="41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B40" s="41">
        <v>1</v>
      </c>
      <c r="CC40">
        <v>22</v>
      </c>
      <c r="CD40">
        <v>23</v>
      </c>
      <c r="CE40">
        <v>0</v>
      </c>
      <c r="CF40">
        <v>0</v>
      </c>
      <c r="CG40">
        <v>0</v>
      </c>
      <c r="CH40">
        <v>6</v>
      </c>
      <c r="CI40">
        <v>0</v>
      </c>
      <c r="CJ40">
        <v>29</v>
      </c>
      <c r="CK40">
        <v>0</v>
      </c>
      <c r="CL40" s="7">
        <v>185</v>
      </c>
    </row>
    <row r="41" spans="1:90" x14ac:dyDescent="0.25">
      <c r="A41" t="s">
        <v>177</v>
      </c>
      <c r="B41" t="s">
        <v>149</v>
      </c>
      <c r="C41">
        <v>60</v>
      </c>
      <c r="L41">
        <v>0</v>
      </c>
      <c r="M41">
        <v>0</v>
      </c>
      <c r="N41">
        <v>0</v>
      </c>
      <c r="O41">
        <v>1</v>
      </c>
      <c r="X41" s="41" t="s">
        <v>77</v>
      </c>
      <c r="AX41">
        <v>0</v>
      </c>
      <c r="BG41">
        <v>0</v>
      </c>
      <c r="BH41">
        <v>0</v>
      </c>
      <c r="BI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Z41">
        <v>0</v>
      </c>
      <c r="CB41" s="41">
        <v>1</v>
      </c>
      <c r="CC41">
        <v>9</v>
      </c>
      <c r="CD41">
        <v>10</v>
      </c>
      <c r="CE41">
        <v>0</v>
      </c>
      <c r="CF41">
        <v>0</v>
      </c>
      <c r="CG41">
        <v>0</v>
      </c>
      <c r="CH41">
        <v>4</v>
      </c>
      <c r="CI41">
        <v>1</v>
      </c>
      <c r="CJ41">
        <v>14</v>
      </c>
      <c r="CK41">
        <v>1</v>
      </c>
      <c r="CL41" s="7">
        <v>74</v>
      </c>
    </row>
    <row r="42" spans="1:90" x14ac:dyDescent="0.25">
      <c r="A42" t="s">
        <v>178</v>
      </c>
      <c r="B42" t="s">
        <v>149</v>
      </c>
      <c r="C42">
        <v>95</v>
      </c>
      <c r="D42">
        <v>0</v>
      </c>
      <c r="E42">
        <v>0</v>
      </c>
      <c r="F42">
        <v>0</v>
      </c>
      <c r="I42">
        <v>0</v>
      </c>
      <c r="J42">
        <v>0</v>
      </c>
      <c r="X42" s="41">
        <v>0</v>
      </c>
      <c r="Y42">
        <v>0</v>
      </c>
      <c r="Z42">
        <v>0</v>
      </c>
      <c r="AA42">
        <v>1</v>
      </c>
      <c r="AB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K42">
        <v>0</v>
      </c>
      <c r="AL42">
        <v>1</v>
      </c>
      <c r="AM42">
        <v>0</v>
      </c>
      <c r="AN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BA42">
        <v>0</v>
      </c>
      <c r="CB42" s="41">
        <v>21</v>
      </c>
      <c r="CC42">
        <v>0</v>
      </c>
      <c r="CD42">
        <v>21</v>
      </c>
      <c r="CE42">
        <v>2</v>
      </c>
      <c r="CF42">
        <v>0</v>
      </c>
      <c r="CG42">
        <v>2</v>
      </c>
      <c r="CH42">
        <v>5</v>
      </c>
      <c r="CI42">
        <v>0</v>
      </c>
      <c r="CJ42">
        <v>26</v>
      </c>
      <c r="CK42">
        <v>2</v>
      </c>
      <c r="CL42" s="7">
        <v>121</v>
      </c>
    </row>
    <row r="43" spans="1:90" x14ac:dyDescent="0.25">
      <c r="A43" t="s">
        <v>179</v>
      </c>
      <c r="B43" t="s">
        <v>151</v>
      </c>
      <c r="C43">
        <v>107</v>
      </c>
      <c r="D43">
        <v>0</v>
      </c>
      <c r="E43">
        <v>0</v>
      </c>
      <c r="F43">
        <v>0</v>
      </c>
      <c r="I43">
        <v>0</v>
      </c>
      <c r="J43">
        <v>0</v>
      </c>
      <c r="X43" s="41">
        <v>1</v>
      </c>
      <c r="Y43">
        <v>0</v>
      </c>
      <c r="Z43">
        <v>0</v>
      </c>
      <c r="AA43">
        <v>0</v>
      </c>
      <c r="AB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>
        <v>0</v>
      </c>
      <c r="AM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U43">
        <v>1</v>
      </c>
      <c r="AV43">
        <v>0</v>
      </c>
      <c r="AW43">
        <v>0</v>
      </c>
      <c r="AY43">
        <v>0</v>
      </c>
      <c r="AZ43">
        <v>0</v>
      </c>
      <c r="BA43">
        <v>1</v>
      </c>
      <c r="BW43">
        <v>0</v>
      </c>
      <c r="CB43" s="41">
        <v>26</v>
      </c>
      <c r="CC43">
        <v>1</v>
      </c>
      <c r="CD43">
        <v>27</v>
      </c>
      <c r="CE43">
        <v>4</v>
      </c>
      <c r="CF43">
        <v>0</v>
      </c>
      <c r="CG43">
        <v>4</v>
      </c>
      <c r="CH43">
        <v>5</v>
      </c>
      <c r="CI43">
        <v>0</v>
      </c>
      <c r="CJ43">
        <v>32</v>
      </c>
      <c r="CK43">
        <v>4</v>
      </c>
      <c r="CL43" s="7">
        <v>139</v>
      </c>
    </row>
    <row r="44" spans="1:90" x14ac:dyDescent="0.25">
      <c r="A44" t="s">
        <v>180</v>
      </c>
      <c r="B44" t="s">
        <v>149</v>
      </c>
      <c r="C44">
        <v>83</v>
      </c>
      <c r="X44" s="41" t="s">
        <v>77</v>
      </c>
      <c r="CB44" s="41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 s="7">
        <v>83</v>
      </c>
    </row>
    <row r="45" spans="1:90" x14ac:dyDescent="0.25">
      <c r="A45" t="s">
        <v>347</v>
      </c>
      <c r="B45" t="s">
        <v>149</v>
      </c>
      <c r="C45">
        <v>0</v>
      </c>
      <c r="X45" s="41" t="s">
        <v>77</v>
      </c>
      <c r="BS45">
        <v>1</v>
      </c>
      <c r="BT45">
        <v>0</v>
      </c>
      <c r="BU45">
        <v>0</v>
      </c>
      <c r="BY45">
        <v>0</v>
      </c>
      <c r="CB45" s="41">
        <v>0</v>
      </c>
      <c r="CC45">
        <v>4</v>
      </c>
      <c r="CD45">
        <v>4</v>
      </c>
      <c r="CE45">
        <v>0</v>
      </c>
      <c r="CF45">
        <v>1</v>
      </c>
      <c r="CG45">
        <v>1</v>
      </c>
      <c r="CH45">
        <v>0</v>
      </c>
      <c r="CI45">
        <v>0</v>
      </c>
      <c r="CJ45">
        <v>4</v>
      </c>
      <c r="CK45">
        <v>1</v>
      </c>
      <c r="CL45" s="7">
        <v>4</v>
      </c>
    </row>
    <row r="46" spans="1:90" x14ac:dyDescent="0.25">
      <c r="A46" t="s">
        <v>181</v>
      </c>
      <c r="B46" t="s">
        <v>151</v>
      </c>
      <c r="C46">
        <v>355</v>
      </c>
      <c r="X46" s="41" t="s">
        <v>77</v>
      </c>
      <c r="CB46" s="41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 s="7">
        <v>355</v>
      </c>
    </row>
    <row r="47" spans="1:90" x14ac:dyDescent="0.25">
      <c r="A47" t="s">
        <v>271</v>
      </c>
      <c r="B47" t="s">
        <v>151</v>
      </c>
      <c r="C47">
        <v>13</v>
      </c>
      <c r="H47">
        <v>0</v>
      </c>
      <c r="O47">
        <v>0</v>
      </c>
      <c r="V47">
        <v>0</v>
      </c>
      <c r="X47" s="41" t="s">
        <v>77</v>
      </c>
      <c r="BE47">
        <v>0</v>
      </c>
      <c r="BF47">
        <v>0</v>
      </c>
      <c r="BG47">
        <v>0</v>
      </c>
      <c r="BH47">
        <v>1</v>
      </c>
      <c r="BI47">
        <v>1</v>
      </c>
      <c r="BJ47">
        <v>1</v>
      </c>
      <c r="BK47">
        <v>0</v>
      </c>
      <c r="BM47">
        <v>0</v>
      </c>
      <c r="BN47">
        <v>0</v>
      </c>
      <c r="BO47">
        <v>0</v>
      </c>
      <c r="BQ47">
        <v>0</v>
      </c>
      <c r="BR47">
        <v>0</v>
      </c>
      <c r="BS47">
        <v>0</v>
      </c>
      <c r="BT47">
        <v>4</v>
      </c>
      <c r="BU47">
        <v>0</v>
      </c>
      <c r="BV47">
        <v>2</v>
      </c>
      <c r="BW47">
        <v>0</v>
      </c>
      <c r="BX47">
        <v>2</v>
      </c>
      <c r="BY47">
        <v>0</v>
      </c>
      <c r="BZ47">
        <v>0</v>
      </c>
      <c r="CB47" s="41">
        <v>0</v>
      </c>
      <c r="CC47">
        <v>20</v>
      </c>
      <c r="CD47">
        <v>20</v>
      </c>
      <c r="CE47">
        <v>0</v>
      </c>
      <c r="CF47">
        <v>11</v>
      </c>
      <c r="CG47">
        <v>11</v>
      </c>
      <c r="CH47">
        <v>3</v>
      </c>
      <c r="CI47">
        <v>0</v>
      </c>
      <c r="CJ47">
        <v>23</v>
      </c>
      <c r="CK47">
        <v>11</v>
      </c>
      <c r="CL47" s="7">
        <v>36</v>
      </c>
    </row>
    <row r="48" spans="1:90" x14ac:dyDescent="0.25">
      <c r="A48" s="1" t="s">
        <v>348</v>
      </c>
      <c r="B48" s="1" t="s">
        <v>149</v>
      </c>
      <c r="C48">
        <v>0</v>
      </c>
      <c r="Q48">
        <v>0</v>
      </c>
      <c r="X48" s="41" t="s">
        <v>77</v>
      </c>
      <c r="AV48">
        <v>0</v>
      </c>
      <c r="AW48">
        <v>0</v>
      </c>
      <c r="AX48">
        <v>0</v>
      </c>
      <c r="AZ48">
        <v>0</v>
      </c>
      <c r="BQ48">
        <v>0</v>
      </c>
      <c r="BS48">
        <v>0</v>
      </c>
      <c r="BT48">
        <v>0</v>
      </c>
      <c r="BU48">
        <v>0</v>
      </c>
      <c r="BW48">
        <v>0</v>
      </c>
      <c r="BY48">
        <v>1</v>
      </c>
      <c r="CB48" s="41">
        <v>4</v>
      </c>
      <c r="CC48">
        <v>6</v>
      </c>
      <c r="CD48">
        <v>10</v>
      </c>
      <c r="CE48">
        <v>0</v>
      </c>
      <c r="CF48">
        <v>1</v>
      </c>
      <c r="CG48">
        <v>1</v>
      </c>
      <c r="CH48">
        <v>1</v>
      </c>
      <c r="CI48">
        <v>0</v>
      </c>
      <c r="CJ48">
        <v>11</v>
      </c>
      <c r="CK48">
        <v>1</v>
      </c>
      <c r="CL48" s="7">
        <v>11</v>
      </c>
    </row>
    <row r="49" spans="1:90" x14ac:dyDescent="0.25">
      <c r="A49" t="s">
        <v>182</v>
      </c>
      <c r="B49" t="s">
        <v>151</v>
      </c>
      <c r="C49">
        <v>38</v>
      </c>
      <c r="D49">
        <v>0</v>
      </c>
      <c r="E49">
        <v>0</v>
      </c>
      <c r="F49">
        <v>0</v>
      </c>
      <c r="O49">
        <v>1</v>
      </c>
      <c r="Q49">
        <v>0</v>
      </c>
      <c r="X49" s="41" t="s">
        <v>77</v>
      </c>
      <c r="BE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CB49" s="41">
        <v>0</v>
      </c>
      <c r="CC49">
        <v>9</v>
      </c>
      <c r="CD49">
        <v>9</v>
      </c>
      <c r="CE49">
        <v>0</v>
      </c>
      <c r="CF49">
        <v>0</v>
      </c>
      <c r="CG49">
        <v>0</v>
      </c>
      <c r="CH49">
        <v>5</v>
      </c>
      <c r="CI49">
        <v>1</v>
      </c>
      <c r="CJ49">
        <v>14</v>
      </c>
      <c r="CK49">
        <v>1</v>
      </c>
      <c r="CL49" s="7">
        <v>52</v>
      </c>
    </row>
    <row r="50" spans="1:90" x14ac:dyDescent="0.25">
      <c r="A50" t="s">
        <v>183</v>
      </c>
      <c r="B50" t="s">
        <v>151</v>
      </c>
      <c r="C50">
        <v>8</v>
      </c>
      <c r="X50" s="41" t="s">
        <v>77</v>
      </c>
      <c r="CB50" s="41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 s="7">
        <v>8</v>
      </c>
    </row>
    <row r="51" spans="1:90" x14ac:dyDescent="0.25">
      <c r="A51" t="s">
        <v>184</v>
      </c>
      <c r="B51" t="s">
        <v>149</v>
      </c>
      <c r="C51" s="56">
        <v>265</v>
      </c>
      <c r="X51" s="41" t="s">
        <v>77</v>
      </c>
      <c r="CB51" s="4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 s="7">
        <v>265</v>
      </c>
    </row>
    <row r="52" spans="1:90" x14ac:dyDescent="0.25">
      <c r="A52" t="s">
        <v>185</v>
      </c>
      <c r="B52" t="s">
        <v>149</v>
      </c>
      <c r="C52" s="56">
        <v>108</v>
      </c>
      <c r="X52" s="41" t="s">
        <v>77</v>
      </c>
      <c r="CB52" s="41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 s="7">
        <v>108</v>
      </c>
    </row>
    <row r="53" spans="1:90" x14ac:dyDescent="0.25">
      <c r="A53" t="s">
        <v>186</v>
      </c>
      <c r="B53" t="s">
        <v>149</v>
      </c>
      <c r="C53" s="56">
        <v>104</v>
      </c>
      <c r="X53" s="41" t="s">
        <v>77</v>
      </c>
      <c r="BF53">
        <v>0</v>
      </c>
      <c r="BG53">
        <v>0</v>
      </c>
      <c r="CB53" s="41">
        <v>0</v>
      </c>
      <c r="CC53">
        <v>2</v>
      </c>
      <c r="CD53">
        <v>2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</v>
      </c>
      <c r="CK53">
        <v>0</v>
      </c>
      <c r="CL53" s="7">
        <v>106</v>
      </c>
    </row>
    <row r="54" spans="1:90" x14ac:dyDescent="0.25">
      <c r="A54" t="s">
        <v>187</v>
      </c>
      <c r="B54" t="s">
        <v>149</v>
      </c>
      <c r="C54">
        <v>114</v>
      </c>
      <c r="X54" s="41" t="s">
        <v>77</v>
      </c>
      <c r="BL54">
        <v>1</v>
      </c>
      <c r="BP54">
        <v>1</v>
      </c>
      <c r="BR54">
        <v>1</v>
      </c>
      <c r="CB54" s="41">
        <v>0</v>
      </c>
      <c r="CC54">
        <v>3</v>
      </c>
      <c r="CD54">
        <v>3</v>
      </c>
      <c r="CE54">
        <v>0</v>
      </c>
      <c r="CF54">
        <v>3</v>
      </c>
      <c r="CG54">
        <v>3</v>
      </c>
      <c r="CH54">
        <v>0</v>
      </c>
      <c r="CI54">
        <v>0</v>
      </c>
      <c r="CJ54">
        <v>3</v>
      </c>
      <c r="CK54">
        <v>3</v>
      </c>
      <c r="CL54" s="7">
        <v>117</v>
      </c>
    </row>
    <row r="55" spans="1:90" x14ac:dyDescent="0.25">
      <c r="A55" t="s">
        <v>272</v>
      </c>
      <c r="B55" t="s">
        <v>151</v>
      </c>
      <c r="C55">
        <v>31</v>
      </c>
      <c r="D55">
        <v>0</v>
      </c>
      <c r="E55">
        <v>0</v>
      </c>
      <c r="F55">
        <v>0</v>
      </c>
      <c r="H55">
        <v>0</v>
      </c>
      <c r="I55">
        <v>0</v>
      </c>
      <c r="J55">
        <v>1</v>
      </c>
      <c r="N55">
        <v>0</v>
      </c>
      <c r="T55">
        <v>0</v>
      </c>
      <c r="X55" s="41">
        <v>0</v>
      </c>
      <c r="Y55">
        <v>0</v>
      </c>
      <c r="Z55">
        <v>1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</v>
      </c>
      <c r="AM55">
        <v>0</v>
      </c>
      <c r="AN55">
        <v>0</v>
      </c>
      <c r="AO55">
        <v>0</v>
      </c>
      <c r="AP55">
        <v>2</v>
      </c>
      <c r="AQ55">
        <v>1</v>
      </c>
      <c r="AR55">
        <v>0</v>
      </c>
      <c r="AS55">
        <v>0</v>
      </c>
      <c r="AT55">
        <v>1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CB55" s="41">
        <v>30</v>
      </c>
      <c r="CC55">
        <v>0</v>
      </c>
      <c r="CD55">
        <v>30</v>
      </c>
      <c r="CE55">
        <v>8</v>
      </c>
      <c r="CF55">
        <v>0</v>
      </c>
      <c r="CG55">
        <v>8</v>
      </c>
      <c r="CH55">
        <v>8</v>
      </c>
      <c r="CI55">
        <v>1</v>
      </c>
      <c r="CJ55">
        <v>38</v>
      </c>
      <c r="CK55">
        <v>9</v>
      </c>
      <c r="CL55" s="7">
        <v>69</v>
      </c>
    </row>
    <row r="56" spans="1:90" x14ac:dyDescent="0.25">
      <c r="A56" t="s">
        <v>188</v>
      </c>
      <c r="B56" t="s">
        <v>151</v>
      </c>
      <c r="C56">
        <v>176</v>
      </c>
      <c r="D56">
        <v>0</v>
      </c>
      <c r="E56">
        <v>0</v>
      </c>
      <c r="F56">
        <v>0</v>
      </c>
      <c r="H56">
        <v>0</v>
      </c>
      <c r="I56">
        <v>0</v>
      </c>
      <c r="J56">
        <v>1</v>
      </c>
      <c r="L56" s="1"/>
      <c r="M56">
        <v>0</v>
      </c>
      <c r="N56">
        <v>0</v>
      </c>
      <c r="T56">
        <v>0</v>
      </c>
      <c r="X56" s="41">
        <v>0</v>
      </c>
      <c r="Y56">
        <v>0</v>
      </c>
      <c r="Z56">
        <v>0</v>
      </c>
      <c r="AA56">
        <v>2</v>
      </c>
      <c r="AB56">
        <v>0</v>
      </c>
      <c r="AC56">
        <v>2</v>
      </c>
      <c r="AD56">
        <v>0</v>
      </c>
      <c r="AE56">
        <v>2</v>
      </c>
      <c r="AF56">
        <v>0</v>
      </c>
      <c r="AG56">
        <v>2</v>
      </c>
      <c r="AH56">
        <v>1</v>
      </c>
      <c r="AI56">
        <v>0</v>
      </c>
      <c r="AJ56">
        <v>1</v>
      </c>
      <c r="AK56">
        <v>0</v>
      </c>
      <c r="AO56">
        <v>0</v>
      </c>
      <c r="AP56">
        <v>1</v>
      </c>
      <c r="AQ56">
        <v>0</v>
      </c>
      <c r="AR56">
        <v>0</v>
      </c>
      <c r="AS56">
        <v>1</v>
      </c>
      <c r="AT56">
        <v>1</v>
      </c>
      <c r="AU56">
        <v>1</v>
      </c>
      <c r="AV56">
        <v>0</v>
      </c>
      <c r="AW56">
        <v>2</v>
      </c>
      <c r="AX56">
        <v>0</v>
      </c>
      <c r="AY56">
        <v>1</v>
      </c>
      <c r="AZ56">
        <v>0</v>
      </c>
      <c r="BA56">
        <v>1</v>
      </c>
      <c r="CB56" s="41">
        <v>27</v>
      </c>
      <c r="CC56">
        <v>0</v>
      </c>
      <c r="CD56">
        <v>27</v>
      </c>
      <c r="CE56">
        <v>18</v>
      </c>
      <c r="CF56">
        <v>0</v>
      </c>
      <c r="CG56">
        <v>18</v>
      </c>
      <c r="CH56">
        <v>9</v>
      </c>
      <c r="CI56">
        <v>1</v>
      </c>
      <c r="CJ56">
        <v>36</v>
      </c>
      <c r="CK56">
        <v>19</v>
      </c>
      <c r="CL56" s="7">
        <v>212</v>
      </c>
    </row>
    <row r="57" spans="1:90" x14ac:dyDescent="0.25">
      <c r="A57" s="1" t="s">
        <v>349</v>
      </c>
      <c r="B57" s="1" t="s">
        <v>151</v>
      </c>
      <c r="L57">
        <v>0</v>
      </c>
      <c r="M57">
        <v>0</v>
      </c>
      <c r="N57">
        <v>0</v>
      </c>
      <c r="V57">
        <v>0</v>
      </c>
      <c r="X57" s="41" t="s">
        <v>77</v>
      </c>
      <c r="BF57">
        <v>0</v>
      </c>
      <c r="BG57">
        <v>0</v>
      </c>
      <c r="BH57">
        <v>0</v>
      </c>
      <c r="BJ57">
        <v>0</v>
      </c>
      <c r="BL57">
        <v>0</v>
      </c>
      <c r="BM57">
        <v>0</v>
      </c>
      <c r="BW57">
        <v>0</v>
      </c>
      <c r="BX57">
        <v>0</v>
      </c>
      <c r="BZ57">
        <v>1</v>
      </c>
      <c r="CB57" s="41">
        <v>0</v>
      </c>
      <c r="CC57">
        <v>9</v>
      </c>
      <c r="CD57">
        <v>9</v>
      </c>
      <c r="CE57">
        <v>0</v>
      </c>
      <c r="CF57">
        <v>1</v>
      </c>
      <c r="CG57">
        <v>1</v>
      </c>
      <c r="CH57">
        <v>4</v>
      </c>
      <c r="CI57">
        <v>0</v>
      </c>
      <c r="CJ57">
        <v>13</v>
      </c>
      <c r="CK57">
        <v>1</v>
      </c>
      <c r="CL57" s="7">
        <v>13</v>
      </c>
    </row>
    <row r="58" spans="1:90" x14ac:dyDescent="0.25">
      <c r="A58" t="s">
        <v>189</v>
      </c>
      <c r="B58" t="s">
        <v>151</v>
      </c>
      <c r="C58">
        <v>72</v>
      </c>
      <c r="I58">
        <v>0</v>
      </c>
      <c r="N58">
        <v>0</v>
      </c>
      <c r="Q58">
        <v>0</v>
      </c>
      <c r="V58">
        <v>0</v>
      </c>
      <c r="X58" s="41" t="s">
        <v>77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1</v>
      </c>
      <c r="BK58">
        <v>0</v>
      </c>
      <c r="BL58">
        <v>0</v>
      </c>
      <c r="BM58">
        <v>0</v>
      </c>
      <c r="BN58">
        <v>1</v>
      </c>
      <c r="BO58">
        <v>1</v>
      </c>
      <c r="BP58">
        <v>0</v>
      </c>
      <c r="BQ58">
        <v>0</v>
      </c>
      <c r="BR58">
        <v>0</v>
      </c>
      <c r="BT58">
        <v>0</v>
      </c>
      <c r="BV58">
        <v>0</v>
      </c>
      <c r="BW58">
        <v>0</v>
      </c>
      <c r="BX58">
        <v>0</v>
      </c>
      <c r="BY58">
        <v>1</v>
      </c>
      <c r="CB58" s="41">
        <v>0</v>
      </c>
      <c r="CC58">
        <v>19</v>
      </c>
      <c r="CD58">
        <v>19</v>
      </c>
      <c r="CE58">
        <v>0</v>
      </c>
      <c r="CF58">
        <v>4</v>
      </c>
      <c r="CG58">
        <v>4</v>
      </c>
      <c r="CH58">
        <v>4</v>
      </c>
      <c r="CI58">
        <v>0</v>
      </c>
      <c r="CJ58">
        <v>23</v>
      </c>
      <c r="CK58">
        <v>4</v>
      </c>
      <c r="CL58" s="7">
        <v>95</v>
      </c>
    </row>
    <row r="59" spans="1:90" x14ac:dyDescent="0.25">
      <c r="A59" t="s">
        <v>190</v>
      </c>
      <c r="B59" t="s">
        <v>151</v>
      </c>
      <c r="C59">
        <v>132</v>
      </c>
      <c r="M59">
        <v>0</v>
      </c>
      <c r="Q59">
        <v>0</v>
      </c>
      <c r="T59">
        <v>0</v>
      </c>
      <c r="X59" s="41" t="s">
        <v>77</v>
      </c>
      <c r="Z59">
        <v>0</v>
      </c>
      <c r="AO59">
        <v>0</v>
      </c>
      <c r="AQ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Y59">
        <v>0</v>
      </c>
      <c r="AZ59">
        <v>0</v>
      </c>
      <c r="BA59">
        <v>0</v>
      </c>
      <c r="BQ59">
        <v>0</v>
      </c>
      <c r="CB59" s="41">
        <v>11</v>
      </c>
      <c r="CC59">
        <v>1</v>
      </c>
      <c r="CD59">
        <v>12</v>
      </c>
      <c r="CE59">
        <v>0</v>
      </c>
      <c r="CF59">
        <v>0</v>
      </c>
      <c r="CG59">
        <v>0</v>
      </c>
      <c r="CH59">
        <v>3</v>
      </c>
      <c r="CI59">
        <v>0</v>
      </c>
      <c r="CJ59">
        <v>15</v>
      </c>
      <c r="CK59">
        <v>0</v>
      </c>
      <c r="CL59" s="7">
        <v>147</v>
      </c>
    </row>
    <row r="60" spans="1:90" x14ac:dyDescent="0.25">
      <c r="A60" t="s">
        <v>191</v>
      </c>
      <c r="B60" t="s">
        <v>151</v>
      </c>
      <c r="C60">
        <v>82</v>
      </c>
      <c r="V60">
        <v>0</v>
      </c>
      <c r="X60" s="41" t="s">
        <v>77</v>
      </c>
      <c r="BJ60">
        <v>0</v>
      </c>
      <c r="CB60" s="41">
        <v>0</v>
      </c>
      <c r="CC60">
        <v>1</v>
      </c>
      <c r="CD60">
        <v>1</v>
      </c>
      <c r="CE60">
        <v>0</v>
      </c>
      <c r="CF60">
        <v>0</v>
      </c>
      <c r="CG60">
        <v>0</v>
      </c>
      <c r="CH60">
        <v>1</v>
      </c>
      <c r="CI60">
        <v>0</v>
      </c>
      <c r="CJ60">
        <v>2</v>
      </c>
      <c r="CK60">
        <v>0</v>
      </c>
      <c r="CL60" s="7">
        <v>84</v>
      </c>
    </row>
    <row r="61" spans="1:90" x14ac:dyDescent="0.25">
      <c r="A61" t="s">
        <v>192</v>
      </c>
      <c r="B61" t="s">
        <v>149</v>
      </c>
      <c r="C61" s="56">
        <v>296</v>
      </c>
      <c r="H61">
        <v>0</v>
      </c>
      <c r="O61">
        <v>0</v>
      </c>
      <c r="Q61">
        <v>0</v>
      </c>
      <c r="V61">
        <v>0</v>
      </c>
      <c r="X61" s="41" t="s">
        <v>77</v>
      </c>
      <c r="AT61">
        <v>0</v>
      </c>
      <c r="BE61">
        <v>0</v>
      </c>
      <c r="BG61">
        <v>2</v>
      </c>
      <c r="BH61">
        <v>0</v>
      </c>
      <c r="BI61">
        <v>0</v>
      </c>
      <c r="BJ61">
        <v>0</v>
      </c>
      <c r="BO61">
        <v>0</v>
      </c>
      <c r="BQ61">
        <v>0</v>
      </c>
      <c r="BR61">
        <v>0</v>
      </c>
      <c r="BS61">
        <v>1</v>
      </c>
      <c r="BT61">
        <v>0</v>
      </c>
      <c r="BU61">
        <v>1</v>
      </c>
      <c r="BV61">
        <v>1</v>
      </c>
      <c r="BW61">
        <v>0</v>
      </c>
      <c r="BX61">
        <v>0</v>
      </c>
      <c r="BY61">
        <v>0</v>
      </c>
      <c r="BZ61">
        <v>0</v>
      </c>
      <c r="CB61" s="41">
        <v>1</v>
      </c>
      <c r="CC61">
        <v>16</v>
      </c>
      <c r="CD61">
        <v>17</v>
      </c>
      <c r="CE61">
        <v>0</v>
      </c>
      <c r="CF61">
        <v>5</v>
      </c>
      <c r="CG61">
        <v>5</v>
      </c>
      <c r="CH61">
        <v>4</v>
      </c>
      <c r="CI61">
        <v>0</v>
      </c>
      <c r="CJ61">
        <v>21</v>
      </c>
      <c r="CK61">
        <v>5</v>
      </c>
      <c r="CL61" s="7">
        <v>317</v>
      </c>
    </row>
    <row r="62" spans="1:90" x14ac:dyDescent="0.25">
      <c r="A62" t="s">
        <v>193</v>
      </c>
      <c r="B62" t="s">
        <v>151</v>
      </c>
      <c r="C62">
        <v>42</v>
      </c>
      <c r="D62">
        <v>0</v>
      </c>
      <c r="E62">
        <v>0</v>
      </c>
      <c r="F62">
        <v>0</v>
      </c>
      <c r="I62">
        <v>1</v>
      </c>
      <c r="J62">
        <v>0</v>
      </c>
      <c r="N62">
        <v>0</v>
      </c>
      <c r="T62">
        <v>0</v>
      </c>
      <c r="X62" s="41">
        <v>0</v>
      </c>
      <c r="Y62">
        <v>0</v>
      </c>
      <c r="Z62">
        <v>0</v>
      </c>
      <c r="AB62">
        <v>1</v>
      </c>
      <c r="AC62">
        <v>2</v>
      </c>
      <c r="AD62">
        <v>1</v>
      </c>
      <c r="AE62">
        <v>1</v>
      </c>
      <c r="AF62">
        <v>0</v>
      </c>
      <c r="AG62">
        <v>1</v>
      </c>
      <c r="AH62">
        <v>0</v>
      </c>
      <c r="AI62">
        <v>0</v>
      </c>
      <c r="AJ62">
        <v>0</v>
      </c>
      <c r="AK62">
        <v>0</v>
      </c>
      <c r="AL62">
        <v>2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1</v>
      </c>
      <c r="AU62">
        <v>0</v>
      </c>
      <c r="AV62">
        <v>0</v>
      </c>
      <c r="AW62">
        <v>0</v>
      </c>
      <c r="AX62">
        <v>0</v>
      </c>
      <c r="AY62">
        <v>1</v>
      </c>
      <c r="AZ62">
        <v>0</v>
      </c>
      <c r="BA62">
        <v>0</v>
      </c>
      <c r="CB62" s="41">
        <v>28</v>
      </c>
      <c r="CC62">
        <v>0</v>
      </c>
      <c r="CD62">
        <v>28</v>
      </c>
      <c r="CE62">
        <v>10</v>
      </c>
      <c r="CF62">
        <v>0</v>
      </c>
      <c r="CG62">
        <v>10</v>
      </c>
      <c r="CH62">
        <v>7</v>
      </c>
      <c r="CI62">
        <v>1</v>
      </c>
      <c r="CJ62">
        <v>35</v>
      </c>
      <c r="CK62">
        <v>11</v>
      </c>
      <c r="CL62" s="7">
        <v>77</v>
      </c>
    </row>
    <row r="63" spans="1:90" x14ac:dyDescent="0.25">
      <c r="A63" t="s">
        <v>194</v>
      </c>
      <c r="B63" t="s">
        <v>149</v>
      </c>
      <c r="C63">
        <v>107</v>
      </c>
      <c r="I63">
        <v>0</v>
      </c>
      <c r="J63">
        <v>0</v>
      </c>
      <c r="L63">
        <v>0</v>
      </c>
      <c r="M63">
        <v>0</v>
      </c>
      <c r="N63">
        <v>0</v>
      </c>
      <c r="Q63">
        <v>0</v>
      </c>
      <c r="T63">
        <v>0</v>
      </c>
      <c r="V63">
        <v>0</v>
      </c>
      <c r="X63" s="41" t="s">
        <v>77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BP63">
        <v>0</v>
      </c>
      <c r="CB63" s="41">
        <v>20</v>
      </c>
      <c r="CC63">
        <v>1</v>
      </c>
      <c r="CD63">
        <v>21</v>
      </c>
      <c r="CE63">
        <v>0</v>
      </c>
      <c r="CF63">
        <v>0</v>
      </c>
      <c r="CG63">
        <v>0</v>
      </c>
      <c r="CH63">
        <v>8</v>
      </c>
      <c r="CI63">
        <v>0</v>
      </c>
      <c r="CJ63">
        <v>29</v>
      </c>
      <c r="CK63">
        <v>0</v>
      </c>
      <c r="CL63" s="7">
        <v>136</v>
      </c>
    </row>
    <row r="64" spans="1:90" x14ac:dyDescent="0.25">
      <c r="A64" t="s">
        <v>350</v>
      </c>
      <c r="X64" s="41" t="s">
        <v>77</v>
      </c>
      <c r="BR64">
        <v>1</v>
      </c>
      <c r="BS64">
        <v>0</v>
      </c>
      <c r="BT64">
        <v>0</v>
      </c>
      <c r="BU64">
        <v>0</v>
      </c>
      <c r="BV64">
        <v>0</v>
      </c>
      <c r="BW64">
        <v>0</v>
      </c>
      <c r="BY64">
        <v>0</v>
      </c>
      <c r="CB64" s="41">
        <v>0</v>
      </c>
      <c r="CC64">
        <v>7</v>
      </c>
      <c r="CD64">
        <v>7</v>
      </c>
      <c r="CE64">
        <v>0</v>
      </c>
      <c r="CF64">
        <v>1</v>
      </c>
      <c r="CG64">
        <v>1</v>
      </c>
      <c r="CH64">
        <v>0</v>
      </c>
      <c r="CI64">
        <v>0</v>
      </c>
      <c r="CJ64">
        <v>7</v>
      </c>
      <c r="CK64">
        <v>1</v>
      </c>
      <c r="CL64" s="7">
        <v>7</v>
      </c>
    </row>
    <row r="65" spans="1:90" x14ac:dyDescent="0.25">
      <c r="A65" t="s">
        <v>273</v>
      </c>
      <c r="B65" t="s">
        <v>149</v>
      </c>
      <c r="C65">
        <v>19</v>
      </c>
      <c r="L65">
        <v>0</v>
      </c>
      <c r="M65">
        <v>0</v>
      </c>
      <c r="N65">
        <v>0</v>
      </c>
      <c r="O65">
        <v>0</v>
      </c>
      <c r="T65">
        <v>0</v>
      </c>
      <c r="V65">
        <v>0</v>
      </c>
      <c r="X65" s="41" t="s">
        <v>77</v>
      </c>
      <c r="AS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B65" s="41">
        <v>1</v>
      </c>
      <c r="CC65">
        <v>21</v>
      </c>
      <c r="CD65">
        <v>22</v>
      </c>
      <c r="CE65">
        <v>0</v>
      </c>
      <c r="CF65">
        <v>0</v>
      </c>
      <c r="CG65">
        <v>0</v>
      </c>
      <c r="CH65">
        <v>6</v>
      </c>
      <c r="CI65">
        <v>0</v>
      </c>
      <c r="CJ65">
        <v>28</v>
      </c>
      <c r="CK65">
        <v>0</v>
      </c>
      <c r="CL65" s="7">
        <v>47</v>
      </c>
    </row>
    <row r="66" spans="1:90" x14ac:dyDescent="0.25">
      <c r="A66" t="s">
        <v>195</v>
      </c>
      <c r="B66" t="s">
        <v>149</v>
      </c>
      <c r="C66" s="56">
        <v>205</v>
      </c>
      <c r="X66" s="41" t="s">
        <v>77</v>
      </c>
      <c r="CB66" s="41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 s="7">
        <v>205</v>
      </c>
    </row>
    <row r="67" spans="1:90" x14ac:dyDescent="0.25">
      <c r="A67" t="s">
        <v>196</v>
      </c>
      <c r="B67" t="s">
        <v>149</v>
      </c>
      <c r="C67" s="56">
        <v>247</v>
      </c>
      <c r="X67" s="41" t="s">
        <v>77</v>
      </c>
      <c r="BF67">
        <v>0</v>
      </c>
      <c r="BU67">
        <v>0</v>
      </c>
      <c r="BV67">
        <v>1</v>
      </c>
      <c r="CB67" s="41">
        <v>0</v>
      </c>
      <c r="CC67">
        <v>3</v>
      </c>
      <c r="CD67">
        <v>3</v>
      </c>
      <c r="CE67">
        <v>0</v>
      </c>
      <c r="CF67">
        <v>1</v>
      </c>
      <c r="CG67">
        <v>1</v>
      </c>
      <c r="CH67">
        <v>0</v>
      </c>
      <c r="CI67">
        <v>0</v>
      </c>
      <c r="CJ67">
        <v>3</v>
      </c>
      <c r="CK67">
        <v>1</v>
      </c>
      <c r="CL67" s="7">
        <v>250</v>
      </c>
    </row>
    <row r="68" spans="1:90" x14ac:dyDescent="0.25">
      <c r="A68" t="s">
        <v>197</v>
      </c>
      <c r="B68" t="s">
        <v>149</v>
      </c>
      <c r="C68" s="56">
        <v>130</v>
      </c>
      <c r="X68" s="41" t="s">
        <v>77</v>
      </c>
      <c r="CB68" s="41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 s="7">
        <v>130</v>
      </c>
    </row>
    <row r="69" spans="1:90" x14ac:dyDescent="0.25">
      <c r="A69" t="s">
        <v>198</v>
      </c>
      <c r="B69" t="s">
        <v>151</v>
      </c>
      <c r="C69">
        <v>55</v>
      </c>
      <c r="D69">
        <v>0</v>
      </c>
      <c r="E69">
        <v>0</v>
      </c>
      <c r="F69">
        <v>0</v>
      </c>
      <c r="H69">
        <v>0</v>
      </c>
      <c r="I69" s="1">
        <v>0</v>
      </c>
      <c r="J69" s="1">
        <v>0</v>
      </c>
      <c r="V69">
        <v>0</v>
      </c>
      <c r="X69" s="41" t="s">
        <v>77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CB69" s="41">
        <v>29</v>
      </c>
      <c r="CC69">
        <v>0</v>
      </c>
      <c r="CD69">
        <v>29</v>
      </c>
      <c r="CE69">
        <v>0</v>
      </c>
      <c r="CF69">
        <v>0</v>
      </c>
      <c r="CG69">
        <v>0</v>
      </c>
      <c r="CH69">
        <v>7</v>
      </c>
      <c r="CI69">
        <v>0</v>
      </c>
      <c r="CJ69">
        <v>36</v>
      </c>
      <c r="CK69">
        <v>0</v>
      </c>
      <c r="CL69" s="7">
        <v>91</v>
      </c>
    </row>
    <row r="70" spans="1:90" x14ac:dyDescent="0.25">
      <c r="A70" t="s">
        <v>199</v>
      </c>
      <c r="B70" t="s">
        <v>151</v>
      </c>
      <c r="C70">
        <v>107</v>
      </c>
      <c r="X70" s="41" t="s">
        <v>77</v>
      </c>
      <c r="CB70" s="41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 s="7">
        <v>107</v>
      </c>
    </row>
    <row r="71" spans="1:90" x14ac:dyDescent="0.25">
      <c r="A71" t="s">
        <v>200</v>
      </c>
      <c r="B71" t="s">
        <v>149</v>
      </c>
      <c r="C71">
        <v>71</v>
      </c>
      <c r="J71">
        <v>0</v>
      </c>
      <c r="T71">
        <v>0</v>
      </c>
      <c r="X71" s="41">
        <v>0</v>
      </c>
      <c r="Y71">
        <v>0</v>
      </c>
      <c r="Z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CB71" s="41">
        <v>25</v>
      </c>
      <c r="CC71">
        <v>0</v>
      </c>
      <c r="CD71">
        <v>25</v>
      </c>
      <c r="CE71">
        <v>1</v>
      </c>
      <c r="CF71">
        <v>0</v>
      </c>
      <c r="CG71">
        <v>1</v>
      </c>
      <c r="CH71">
        <v>2</v>
      </c>
      <c r="CI71">
        <v>0</v>
      </c>
      <c r="CJ71">
        <v>27</v>
      </c>
      <c r="CK71">
        <v>1</v>
      </c>
      <c r="CL71" s="7">
        <v>98</v>
      </c>
    </row>
    <row r="72" spans="1:90" x14ac:dyDescent="0.25">
      <c r="A72" t="s">
        <v>351</v>
      </c>
      <c r="B72" t="s">
        <v>149</v>
      </c>
      <c r="C72">
        <v>0</v>
      </c>
      <c r="H72">
        <v>3</v>
      </c>
      <c r="I72">
        <v>0</v>
      </c>
      <c r="X72" s="41" t="s">
        <v>77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Z72">
        <v>0</v>
      </c>
      <c r="CB72" s="41">
        <v>10</v>
      </c>
      <c r="CC72">
        <v>0</v>
      </c>
      <c r="CD72">
        <v>10</v>
      </c>
      <c r="CE72">
        <v>0</v>
      </c>
      <c r="CF72">
        <v>0</v>
      </c>
      <c r="CG72">
        <v>0</v>
      </c>
      <c r="CH72">
        <v>2</v>
      </c>
      <c r="CI72">
        <v>3</v>
      </c>
      <c r="CJ72">
        <v>12</v>
      </c>
      <c r="CK72">
        <v>3</v>
      </c>
      <c r="CL72" s="7">
        <v>12</v>
      </c>
    </row>
    <row r="73" spans="1:90" x14ac:dyDescent="0.25">
      <c r="A73" t="s">
        <v>352</v>
      </c>
      <c r="B73" t="s">
        <v>151</v>
      </c>
      <c r="C73">
        <v>29</v>
      </c>
      <c r="D73">
        <v>0</v>
      </c>
      <c r="E73">
        <v>0</v>
      </c>
      <c r="F73">
        <v>0</v>
      </c>
      <c r="H73">
        <v>0</v>
      </c>
      <c r="T73">
        <v>0</v>
      </c>
      <c r="X73" s="41">
        <v>0</v>
      </c>
      <c r="Z73">
        <v>0</v>
      </c>
      <c r="AA73">
        <v>0</v>
      </c>
      <c r="AB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T73">
        <v>0</v>
      </c>
      <c r="BU73">
        <v>0</v>
      </c>
      <c r="BX73">
        <v>3</v>
      </c>
      <c r="CB73" s="41">
        <v>12</v>
      </c>
      <c r="CC73">
        <v>2</v>
      </c>
      <c r="CD73">
        <v>14</v>
      </c>
      <c r="CE73">
        <v>0</v>
      </c>
      <c r="CF73">
        <v>3</v>
      </c>
      <c r="CG73">
        <v>3</v>
      </c>
      <c r="CH73">
        <v>5</v>
      </c>
      <c r="CI73">
        <v>0</v>
      </c>
      <c r="CJ73">
        <v>19</v>
      </c>
      <c r="CK73">
        <v>3</v>
      </c>
      <c r="CL73" s="7">
        <v>48</v>
      </c>
    </row>
    <row r="74" spans="1:90" x14ac:dyDescent="0.25">
      <c r="A74" t="s">
        <v>201</v>
      </c>
      <c r="B74" t="s">
        <v>151</v>
      </c>
      <c r="C74">
        <v>96</v>
      </c>
      <c r="X74" s="41" t="s">
        <v>77</v>
      </c>
      <c r="CB74" s="41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 s="7">
        <v>96</v>
      </c>
    </row>
    <row r="75" spans="1:90" x14ac:dyDescent="0.25">
      <c r="A75" t="s">
        <v>202</v>
      </c>
      <c r="B75" t="s">
        <v>151</v>
      </c>
      <c r="C75">
        <v>29</v>
      </c>
      <c r="M75">
        <v>0</v>
      </c>
      <c r="O75">
        <v>0</v>
      </c>
      <c r="X75" s="41" t="s">
        <v>77</v>
      </c>
      <c r="BE75">
        <v>0</v>
      </c>
      <c r="BF75">
        <v>0</v>
      </c>
      <c r="BG75">
        <v>0</v>
      </c>
      <c r="BH75">
        <v>1</v>
      </c>
      <c r="BI75">
        <v>2</v>
      </c>
      <c r="BK75">
        <v>0</v>
      </c>
      <c r="BL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X75">
        <v>0</v>
      </c>
      <c r="BY75">
        <v>0</v>
      </c>
      <c r="CB75" s="41">
        <v>0</v>
      </c>
      <c r="CC75">
        <v>18</v>
      </c>
      <c r="CD75">
        <v>18</v>
      </c>
      <c r="CE75">
        <v>0</v>
      </c>
      <c r="CF75">
        <v>3</v>
      </c>
      <c r="CG75">
        <v>3</v>
      </c>
      <c r="CH75">
        <v>2</v>
      </c>
      <c r="CI75">
        <v>0</v>
      </c>
      <c r="CJ75">
        <v>20</v>
      </c>
      <c r="CK75">
        <v>3</v>
      </c>
      <c r="CL75" s="7">
        <v>49</v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M80"/>
  <sheetViews>
    <sheetView topLeftCell="A4" workbookViewId="0">
      <selection activeCell="I86" sqref="I86"/>
    </sheetView>
  </sheetViews>
  <sheetFormatPr baseColWidth="10" defaultColWidth="9.109375" defaultRowHeight="13.2" x14ac:dyDescent="0.25"/>
  <cols>
    <col min="1" max="1" width="18.5546875" bestFit="1" customWidth="1"/>
  </cols>
  <sheetData>
    <row r="1" spans="1:91" ht="35.4" customHeight="1" x14ac:dyDescent="0.6">
      <c r="E1" s="91" t="s">
        <v>353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  <c r="BY1" s="92"/>
      <c r="BZ1" s="92"/>
      <c r="CA1" s="92"/>
      <c r="CB1" s="92"/>
      <c r="CC1" s="92"/>
      <c r="CD1" s="92"/>
      <c r="CE1" s="92"/>
      <c r="CF1" s="92"/>
      <c r="CG1" s="92"/>
      <c r="CH1" s="92"/>
      <c r="CI1" s="92"/>
      <c r="CJ1" s="92"/>
      <c r="CK1" s="92"/>
      <c r="CL1" s="92"/>
      <c r="CM1" s="92"/>
    </row>
    <row r="2" spans="1:91" x14ac:dyDescent="0.25">
      <c r="A2" s="94" t="s">
        <v>69</v>
      </c>
      <c r="B2" s="94"/>
      <c r="C2" s="96" t="s">
        <v>70</v>
      </c>
      <c r="D2" s="93" t="s">
        <v>71</v>
      </c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3" t="s">
        <v>72</v>
      </c>
      <c r="T2" s="92"/>
      <c r="U2" s="92"/>
      <c r="V2" s="92"/>
      <c r="W2" s="92"/>
      <c r="X2" s="92"/>
      <c r="Y2" s="99" t="s">
        <v>73</v>
      </c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92"/>
      <c r="BY2" s="92"/>
      <c r="BZ2" s="92"/>
      <c r="CA2" s="92"/>
      <c r="CB2" s="92"/>
      <c r="CC2" s="99" t="s">
        <v>74</v>
      </c>
      <c r="CD2" s="92"/>
      <c r="CE2" s="92"/>
      <c r="CF2" s="92"/>
      <c r="CG2" s="92"/>
      <c r="CH2" s="92"/>
      <c r="CI2" s="92"/>
      <c r="CJ2" s="92"/>
      <c r="CK2" s="92"/>
      <c r="CL2" s="92"/>
      <c r="CM2" s="92"/>
    </row>
    <row r="3" spans="1:91" x14ac:dyDescent="0.25">
      <c r="A3" s="92"/>
      <c r="B3" s="92"/>
      <c r="C3" s="97"/>
      <c r="D3" s="1" t="s">
        <v>75</v>
      </c>
      <c r="E3" s="1" t="s">
        <v>75</v>
      </c>
      <c r="F3" s="1" t="s">
        <v>75</v>
      </c>
      <c r="G3" s="1" t="s">
        <v>75</v>
      </c>
      <c r="H3" s="1" t="s">
        <v>75</v>
      </c>
      <c r="I3" s="1" t="s">
        <v>75</v>
      </c>
      <c r="J3" s="1" t="s">
        <v>75</v>
      </c>
      <c r="K3" s="1" t="s">
        <v>75</v>
      </c>
      <c r="M3" s="1" t="s">
        <v>76</v>
      </c>
      <c r="N3" s="1" t="s">
        <v>76</v>
      </c>
      <c r="O3" s="1" t="s">
        <v>76</v>
      </c>
      <c r="P3" s="1" t="s">
        <v>76</v>
      </c>
      <c r="Q3" s="1"/>
      <c r="R3" s="1"/>
      <c r="S3" s="1"/>
      <c r="U3" s="1" t="s">
        <v>75</v>
      </c>
      <c r="V3" s="1" t="s">
        <v>76</v>
      </c>
      <c r="W3" s="1"/>
      <c r="Y3" s="51" t="s">
        <v>75</v>
      </c>
      <c r="Z3" s="1" t="s">
        <v>75</v>
      </c>
      <c r="AA3" s="1" t="s">
        <v>75</v>
      </c>
      <c r="AB3" s="1" t="s">
        <v>75</v>
      </c>
      <c r="AC3" s="1" t="s">
        <v>75</v>
      </c>
      <c r="AD3" s="1" t="s">
        <v>75</v>
      </c>
      <c r="AE3" s="1" t="s">
        <v>75</v>
      </c>
      <c r="AF3" s="1" t="s">
        <v>75</v>
      </c>
      <c r="AG3" s="1" t="s">
        <v>75</v>
      </c>
      <c r="AH3" s="1" t="s">
        <v>75</v>
      </c>
      <c r="AI3" s="1" t="s">
        <v>75</v>
      </c>
      <c r="AJ3" s="1" t="s">
        <v>75</v>
      </c>
      <c r="AK3" s="1" t="s">
        <v>75</v>
      </c>
      <c r="AL3" s="1" t="s">
        <v>75</v>
      </c>
      <c r="AM3" s="1" t="s">
        <v>75</v>
      </c>
      <c r="AN3" s="1" t="s">
        <v>75</v>
      </c>
      <c r="AO3" s="1" t="s">
        <v>75</v>
      </c>
      <c r="AP3" s="1" t="s">
        <v>75</v>
      </c>
      <c r="AQ3" s="1" t="s">
        <v>75</v>
      </c>
      <c r="AR3" s="1" t="s">
        <v>75</v>
      </c>
      <c r="AS3" s="1" t="s">
        <v>75</v>
      </c>
      <c r="AT3" s="1" t="s">
        <v>75</v>
      </c>
      <c r="AU3" s="1" t="s">
        <v>75</v>
      </c>
      <c r="AV3" s="1" t="s">
        <v>75</v>
      </c>
      <c r="AW3" s="1" t="s">
        <v>75</v>
      </c>
      <c r="AX3" s="1" t="s">
        <v>75</v>
      </c>
      <c r="AY3" s="1" t="s">
        <v>75</v>
      </c>
      <c r="AZ3" s="1" t="s">
        <v>75</v>
      </c>
      <c r="BA3" s="1" t="s">
        <v>75</v>
      </c>
      <c r="BB3" s="1" t="s">
        <v>75</v>
      </c>
      <c r="BC3" s="1" t="s">
        <v>75</v>
      </c>
      <c r="BD3" s="1" t="s">
        <v>75</v>
      </c>
      <c r="BE3" s="1" t="s">
        <v>75</v>
      </c>
      <c r="BF3" s="1" t="s">
        <v>75</v>
      </c>
      <c r="BG3" s="1"/>
      <c r="BH3" s="1" t="s">
        <v>76</v>
      </c>
      <c r="BI3" s="1" t="s">
        <v>76</v>
      </c>
      <c r="BJ3" s="1" t="s">
        <v>76</v>
      </c>
      <c r="BK3" s="1" t="s">
        <v>76</v>
      </c>
      <c r="BL3" s="1" t="s">
        <v>76</v>
      </c>
      <c r="BM3" s="1" t="s">
        <v>76</v>
      </c>
      <c r="BN3" s="1" t="s">
        <v>76</v>
      </c>
      <c r="BO3" s="1" t="s">
        <v>76</v>
      </c>
      <c r="BP3" s="1" t="s">
        <v>76</v>
      </c>
      <c r="BQ3" s="1" t="s">
        <v>76</v>
      </c>
      <c r="BR3" s="1" t="s">
        <v>76</v>
      </c>
      <c r="BS3" s="1" t="s">
        <v>76</v>
      </c>
      <c r="BT3" s="1" t="s">
        <v>76</v>
      </c>
      <c r="BU3" s="1" t="s">
        <v>76</v>
      </c>
      <c r="BV3" s="1" t="s">
        <v>76</v>
      </c>
      <c r="BW3" s="1" t="s">
        <v>76</v>
      </c>
      <c r="BX3" s="1" t="s">
        <v>76</v>
      </c>
      <c r="BY3" s="1" t="s">
        <v>76</v>
      </c>
      <c r="BZ3" s="1" t="s">
        <v>76</v>
      </c>
      <c r="CA3" s="1" t="s">
        <v>76</v>
      </c>
      <c r="CB3" s="1" t="s">
        <v>76</v>
      </c>
      <c r="CC3" s="41" t="s">
        <v>77</v>
      </c>
      <c r="CD3" s="42"/>
      <c r="CE3" s="42"/>
      <c r="CF3" s="42"/>
      <c r="CG3" s="42"/>
      <c r="CH3" s="42"/>
      <c r="CI3" s="42"/>
      <c r="CJ3" s="42"/>
    </row>
    <row r="4" spans="1:91" ht="355.2" customHeight="1" x14ac:dyDescent="0.25">
      <c r="A4" s="95"/>
      <c r="B4" s="95"/>
      <c r="C4" s="98"/>
      <c r="D4" s="52" t="s">
        <v>354</v>
      </c>
      <c r="E4" s="57" t="s">
        <v>355</v>
      </c>
      <c r="F4" s="52" t="s">
        <v>356</v>
      </c>
      <c r="G4" s="52" t="s">
        <v>357</v>
      </c>
      <c r="H4" s="42" t="s">
        <v>358</v>
      </c>
      <c r="I4" s="57" t="s">
        <v>359</v>
      </c>
      <c r="J4" s="57" t="s">
        <v>360</v>
      </c>
      <c r="K4" s="52" t="s">
        <v>361</v>
      </c>
      <c r="L4" s="42"/>
      <c r="M4" s="52" t="s">
        <v>362</v>
      </c>
      <c r="N4" s="45" t="s">
        <v>363</v>
      </c>
      <c r="O4" s="57" t="s">
        <v>364</v>
      </c>
      <c r="P4" s="57" t="s">
        <v>365</v>
      </c>
      <c r="Q4" s="53" t="s">
        <v>77</v>
      </c>
      <c r="R4" s="45"/>
      <c r="S4" s="53" t="s">
        <v>77</v>
      </c>
      <c r="T4" s="43" t="s">
        <v>77</v>
      </c>
      <c r="U4" s="58" t="s">
        <v>366</v>
      </c>
      <c r="V4" s="52" t="s">
        <v>367</v>
      </c>
      <c r="W4" s="52" t="s">
        <v>77</v>
      </c>
      <c r="X4" s="54" t="s">
        <v>77</v>
      </c>
      <c r="Y4" s="45" t="s">
        <v>368</v>
      </c>
      <c r="Z4" s="45" t="s">
        <v>369</v>
      </c>
      <c r="AA4" s="45" t="s">
        <v>370</v>
      </c>
      <c r="AB4" s="45" t="s">
        <v>371</v>
      </c>
      <c r="AC4" s="45" t="s">
        <v>372</v>
      </c>
      <c r="AD4" s="58" t="s">
        <v>373</v>
      </c>
      <c r="AE4" s="45" t="s">
        <v>374</v>
      </c>
      <c r="AF4" s="45" t="s">
        <v>375</v>
      </c>
      <c r="AG4" s="45" t="s">
        <v>376</v>
      </c>
      <c r="AH4" s="45" t="s">
        <v>377</v>
      </c>
      <c r="AI4" s="45" t="s">
        <v>378</v>
      </c>
      <c r="AJ4" s="45" t="s">
        <v>379</v>
      </c>
      <c r="AK4" s="45" t="s">
        <v>380</v>
      </c>
      <c r="AL4" s="45" t="s">
        <v>381</v>
      </c>
      <c r="AM4" s="45" t="s">
        <v>382</v>
      </c>
      <c r="AN4" s="45" t="s">
        <v>383</v>
      </c>
      <c r="AO4" s="45" t="s">
        <v>384</v>
      </c>
      <c r="AP4" s="45" t="s">
        <v>385</v>
      </c>
      <c r="AQ4" s="45" t="s">
        <v>386</v>
      </c>
      <c r="AR4" s="45" t="s">
        <v>387</v>
      </c>
      <c r="AS4" s="45" t="s">
        <v>388</v>
      </c>
      <c r="AT4" s="45" t="s">
        <v>389</v>
      </c>
      <c r="AU4" s="58" t="s">
        <v>390</v>
      </c>
      <c r="AV4" s="45" t="s">
        <v>391</v>
      </c>
      <c r="AW4" s="45" t="s">
        <v>392</v>
      </c>
      <c r="AX4" s="45" t="s">
        <v>393</v>
      </c>
      <c r="AY4" s="45" t="s">
        <v>394</v>
      </c>
      <c r="AZ4" s="45" t="s">
        <v>395</v>
      </c>
      <c r="BA4" s="45" t="s">
        <v>396</v>
      </c>
      <c r="BB4" s="45" t="s">
        <v>397</v>
      </c>
      <c r="BC4" s="58" t="s">
        <v>398</v>
      </c>
      <c r="BD4" s="45" t="s">
        <v>399</v>
      </c>
      <c r="BE4" s="45" t="s">
        <v>400</v>
      </c>
      <c r="BF4" s="45" t="s">
        <v>401</v>
      </c>
      <c r="BG4" s="59" t="s">
        <v>77</v>
      </c>
      <c r="BH4" s="45" t="s">
        <v>402</v>
      </c>
      <c r="BI4" s="45" t="s">
        <v>403</v>
      </c>
      <c r="BJ4" s="45" t="s">
        <v>404</v>
      </c>
      <c r="BK4" s="45" t="s">
        <v>405</v>
      </c>
      <c r="BL4" s="45" t="s">
        <v>406</v>
      </c>
      <c r="BM4" s="45" t="s">
        <v>407</v>
      </c>
      <c r="BN4" s="45" t="s">
        <v>408</v>
      </c>
      <c r="BO4" s="45" t="s">
        <v>409</v>
      </c>
      <c r="BP4" s="45" t="s">
        <v>410</v>
      </c>
      <c r="BQ4" s="45" t="s">
        <v>411</v>
      </c>
      <c r="BR4" s="45" t="s">
        <v>412</v>
      </c>
      <c r="BS4" s="45" t="s">
        <v>413</v>
      </c>
      <c r="BT4" s="45" t="s">
        <v>414</v>
      </c>
      <c r="BU4" s="45" t="s">
        <v>415</v>
      </c>
      <c r="BV4" s="45" t="s">
        <v>416</v>
      </c>
      <c r="BW4" s="45" t="s">
        <v>417</v>
      </c>
      <c r="BX4" s="45" t="s">
        <v>418</v>
      </c>
      <c r="BY4" s="45" t="s">
        <v>419</v>
      </c>
      <c r="BZ4" s="45" t="s">
        <v>420</v>
      </c>
      <c r="CA4" s="45" t="s">
        <v>421</v>
      </c>
      <c r="CB4" s="45" t="s">
        <v>422</v>
      </c>
      <c r="CC4" s="46" t="s">
        <v>137</v>
      </c>
      <c r="CD4" s="43" t="s">
        <v>138</v>
      </c>
      <c r="CE4" s="43" t="s">
        <v>139</v>
      </c>
      <c r="CF4" s="43" t="s">
        <v>140</v>
      </c>
      <c r="CG4" s="43" t="s">
        <v>141</v>
      </c>
      <c r="CH4" s="43" t="s">
        <v>142</v>
      </c>
      <c r="CI4" s="43" t="s">
        <v>143</v>
      </c>
      <c r="CJ4" s="43" t="s">
        <v>144</v>
      </c>
      <c r="CK4" s="43" t="s">
        <v>145</v>
      </c>
      <c r="CL4" s="43" t="s">
        <v>146</v>
      </c>
      <c r="CM4" s="6" t="s">
        <v>147</v>
      </c>
    </row>
    <row r="5" spans="1:91" x14ac:dyDescent="0.25">
      <c r="A5" t="s">
        <v>148</v>
      </c>
      <c r="B5" t="s">
        <v>149</v>
      </c>
      <c r="C5">
        <v>131</v>
      </c>
      <c r="Y5" s="41" t="s">
        <v>77</v>
      </c>
      <c r="BG5" s="60" t="s">
        <v>77</v>
      </c>
      <c r="CC5" s="41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 s="7">
        <v>131</v>
      </c>
    </row>
    <row r="6" spans="1:91" x14ac:dyDescent="0.25">
      <c r="A6" t="s">
        <v>265</v>
      </c>
      <c r="B6" t="s">
        <v>151</v>
      </c>
      <c r="C6">
        <v>23</v>
      </c>
      <c r="Y6" s="41" t="s">
        <v>77</v>
      </c>
      <c r="BG6" s="60" t="s">
        <v>77</v>
      </c>
      <c r="BJ6">
        <v>0</v>
      </c>
      <c r="BK6">
        <v>0</v>
      </c>
      <c r="BO6">
        <v>0</v>
      </c>
      <c r="BP6">
        <v>0</v>
      </c>
      <c r="BV6">
        <v>1</v>
      </c>
      <c r="BY6">
        <v>0</v>
      </c>
      <c r="CA6">
        <v>0</v>
      </c>
      <c r="CC6" s="41">
        <v>0</v>
      </c>
      <c r="CD6">
        <v>7</v>
      </c>
      <c r="CE6">
        <v>7</v>
      </c>
      <c r="CF6">
        <v>0</v>
      </c>
      <c r="CG6">
        <v>1</v>
      </c>
      <c r="CH6">
        <v>1</v>
      </c>
      <c r="CI6">
        <v>0</v>
      </c>
      <c r="CJ6">
        <v>0</v>
      </c>
      <c r="CK6">
        <v>7</v>
      </c>
      <c r="CL6">
        <v>1</v>
      </c>
      <c r="CM6" s="7">
        <v>30</v>
      </c>
    </row>
    <row r="7" spans="1:91" x14ac:dyDescent="0.25">
      <c r="A7" t="s">
        <v>266</v>
      </c>
      <c r="B7" t="s">
        <v>151</v>
      </c>
      <c r="C7">
        <v>382</v>
      </c>
      <c r="Y7" s="41" t="s">
        <v>77</v>
      </c>
      <c r="BG7" s="60" t="s">
        <v>77</v>
      </c>
      <c r="CC7" s="41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 s="7">
        <v>382</v>
      </c>
    </row>
    <row r="8" spans="1:91" x14ac:dyDescent="0.25">
      <c r="A8" t="s">
        <v>423</v>
      </c>
      <c r="C8">
        <v>0</v>
      </c>
      <c r="Y8" s="41" t="s">
        <v>77</v>
      </c>
      <c r="BG8" s="60" t="s">
        <v>77</v>
      </c>
      <c r="CB8">
        <v>0</v>
      </c>
      <c r="CC8" s="41">
        <v>0</v>
      </c>
      <c r="CD8">
        <v>1</v>
      </c>
      <c r="CE8">
        <v>1</v>
      </c>
      <c r="CF8">
        <v>0</v>
      </c>
      <c r="CG8">
        <v>0</v>
      </c>
      <c r="CH8">
        <v>0</v>
      </c>
      <c r="CI8">
        <v>0</v>
      </c>
      <c r="CJ8">
        <v>0</v>
      </c>
      <c r="CK8">
        <v>1</v>
      </c>
      <c r="CL8">
        <v>0</v>
      </c>
      <c r="CM8" s="7">
        <v>1</v>
      </c>
    </row>
    <row r="9" spans="1:91" x14ac:dyDescent="0.25">
      <c r="A9" t="s">
        <v>152</v>
      </c>
      <c r="B9" t="s">
        <v>149</v>
      </c>
      <c r="C9" s="56">
        <v>266</v>
      </c>
      <c r="Y9" s="41" t="s">
        <v>77</v>
      </c>
      <c r="BG9" s="60" t="s">
        <v>77</v>
      </c>
      <c r="BH9">
        <v>0</v>
      </c>
      <c r="BN9">
        <v>0</v>
      </c>
      <c r="BR9">
        <v>0</v>
      </c>
      <c r="CC9" s="41">
        <v>0</v>
      </c>
      <c r="CD9">
        <v>3</v>
      </c>
      <c r="CE9">
        <v>3</v>
      </c>
      <c r="CF9">
        <v>0</v>
      </c>
      <c r="CG9">
        <v>0</v>
      </c>
      <c r="CH9">
        <v>0</v>
      </c>
      <c r="CI9">
        <v>0</v>
      </c>
      <c r="CJ9">
        <v>0</v>
      </c>
      <c r="CK9">
        <v>3</v>
      </c>
      <c r="CL9">
        <v>0</v>
      </c>
      <c r="CM9" s="7">
        <v>269</v>
      </c>
    </row>
    <row r="10" spans="1:91" x14ac:dyDescent="0.25">
      <c r="A10" t="s">
        <v>153</v>
      </c>
      <c r="B10" t="s">
        <v>149</v>
      </c>
      <c r="C10" s="56">
        <v>273</v>
      </c>
      <c r="Y10" s="41" t="s">
        <v>77</v>
      </c>
      <c r="BG10" s="60" t="s">
        <v>77</v>
      </c>
      <c r="CC10" s="41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 s="7">
        <v>273</v>
      </c>
    </row>
    <row r="11" spans="1:91" x14ac:dyDescent="0.25">
      <c r="A11" t="s">
        <v>154</v>
      </c>
      <c r="B11" t="s">
        <v>149</v>
      </c>
      <c r="C11" s="56">
        <v>137</v>
      </c>
      <c r="Y11" s="41" t="s">
        <v>77</v>
      </c>
      <c r="BG11" s="60" t="s">
        <v>77</v>
      </c>
      <c r="CC11" s="4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 s="7">
        <v>137</v>
      </c>
    </row>
    <row r="12" spans="1:91" x14ac:dyDescent="0.25">
      <c r="A12" t="s">
        <v>20</v>
      </c>
      <c r="B12" t="s">
        <v>151</v>
      </c>
      <c r="C12">
        <v>59</v>
      </c>
      <c r="D12">
        <v>0</v>
      </c>
      <c r="M12">
        <v>0</v>
      </c>
      <c r="Y12" s="41" t="s">
        <v>77</v>
      </c>
      <c r="AD12">
        <v>0</v>
      </c>
      <c r="BG12" s="60" t="s">
        <v>77</v>
      </c>
      <c r="BI12">
        <v>0</v>
      </c>
      <c r="BJ12">
        <v>0</v>
      </c>
      <c r="BV12">
        <v>0</v>
      </c>
      <c r="CC12" s="41">
        <v>1</v>
      </c>
      <c r="CD12">
        <v>3</v>
      </c>
      <c r="CE12">
        <v>4</v>
      </c>
      <c r="CF12">
        <v>0</v>
      </c>
      <c r="CG12">
        <v>0</v>
      </c>
      <c r="CH12">
        <v>0</v>
      </c>
      <c r="CI12">
        <v>2</v>
      </c>
      <c r="CJ12">
        <v>0</v>
      </c>
      <c r="CK12">
        <v>6</v>
      </c>
      <c r="CL12">
        <v>0</v>
      </c>
      <c r="CM12" s="7">
        <v>65</v>
      </c>
    </row>
    <row r="13" spans="1:91" x14ac:dyDescent="0.25">
      <c r="A13" t="s">
        <v>155</v>
      </c>
      <c r="B13" t="s">
        <v>149</v>
      </c>
      <c r="C13">
        <v>100</v>
      </c>
      <c r="D13">
        <v>0</v>
      </c>
      <c r="F13">
        <v>1</v>
      </c>
      <c r="G13">
        <v>0</v>
      </c>
      <c r="H13">
        <v>0</v>
      </c>
      <c r="K13">
        <v>0</v>
      </c>
      <c r="M13">
        <v>0</v>
      </c>
      <c r="N13">
        <v>0</v>
      </c>
      <c r="U13">
        <v>0</v>
      </c>
      <c r="Y13" s="41">
        <v>0</v>
      </c>
      <c r="AA13">
        <v>1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R13">
        <v>0</v>
      </c>
      <c r="AT13">
        <v>0</v>
      </c>
      <c r="AU13">
        <v>0</v>
      </c>
      <c r="AV13">
        <v>1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 s="60" t="s">
        <v>77</v>
      </c>
      <c r="CC13" s="41">
        <v>31</v>
      </c>
      <c r="CD13">
        <v>0</v>
      </c>
      <c r="CE13">
        <v>31</v>
      </c>
      <c r="CF13">
        <v>3</v>
      </c>
      <c r="CG13">
        <v>0</v>
      </c>
      <c r="CH13">
        <v>3</v>
      </c>
      <c r="CI13">
        <v>8</v>
      </c>
      <c r="CJ13">
        <v>1</v>
      </c>
      <c r="CK13">
        <v>39</v>
      </c>
      <c r="CL13">
        <v>4</v>
      </c>
      <c r="CM13" s="7">
        <v>139</v>
      </c>
    </row>
    <row r="14" spans="1:91" x14ac:dyDescent="0.25">
      <c r="A14" t="s">
        <v>156</v>
      </c>
      <c r="B14" t="s">
        <v>149</v>
      </c>
      <c r="C14" s="56">
        <v>420</v>
      </c>
      <c r="D14">
        <v>0</v>
      </c>
      <c r="F14">
        <v>0</v>
      </c>
      <c r="G14">
        <v>0</v>
      </c>
      <c r="K14">
        <v>0</v>
      </c>
      <c r="M14" s="1">
        <v>0</v>
      </c>
      <c r="N14">
        <v>0</v>
      </c>
      <c r="U14">
        <v>1</v>
      </c>
      <c r="Y14" s="41">
        <v>0</v>
      </c>
      <c r="AA14">
        <v>0</v>
      </c>
      <c r="AB14">
        <v>1</v>
      </c>
      <c r="AC14">
        <v>0</v>
      </c>
      <c r="AM14">
        <v>0</v>
      </c>
      <c r="AO14">
        <v>0</v>
      </c>
      <c r="BG14" s="60" t="s">
        <v>77</v>
      </c>
      <c r="BL14">
        <v>0</v>
      </c>
      <c r="BO14">
        <v>0</v>
      </c>
      <c r="BQ14">
        <v>0</v>
      </c>
      <c r="BR14">
        <v>1</v>
      </c>
      <c r="BX14">
        <v>0</v>
      </c>
      <c r="BY14">
        <v>0</v>
      </c>
      <c r="BZ14">
        <v>1</v>
      </c>
      <c r="CB14">
        <v>0</v>
      </c>
      <c r="CC14" s="41">
        <v>6</v>
      </c>
      <c r="CD14">
        <v>8</v>
      </c>
      <c r="CE14">
        <v>14</v>
      </c>
      <c r="CF14">
        <v>1</v>
      </c>
      <c r="CG14">
        <v>2</v>
      </c>
      <c r="CH14">
        <v>3</v>
      </c>
      <c r="CI14">
        <v>7</v>
      </c>
      <c r="CJ14">
        <v>1</v>
      </c>
      <c r="CK14">
        <v>21</v>
      </c>
      <c r="CL14">
        <v>4</v>
      </c>
      <c r="CM14" s="7">
        <v>441</v>
      </c>
    </row>
    <row r="15" spans="1:91" x14ac:dyDescent="0.25">
      <c r="A15" t="s">
        <v>157</v>
      </c>
      <c r="B15" t="s">
        <v>151</v>
      </c>
      <c r="C15">
        <v>25</v>
      </c>
      <c r="Y15" s="41" t="s">
        <v>77</v>
      </c>
      <c r="BG15" s="60" t="s">
        <v>77</v>
      </c>
      <c r="CC15" s="41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 s="7">
        <v>25</v>
      </c>
    </row>
    <row r="16" spans="1:91" x14ac:dyDescent="0.25">
      <c r="A16" t="s">
        <v>267</v>
      </c>
      <c r="B16" t="s">
        <v>149</v>
      </c>
      <c r="C16">
        <v>41</v>
      </c>
      <c r="Y16" s="41" t="s">
        <v>77</v>
      </c>
      <c r="BG16" s="60" t="s">
        <v>77</v>
      </c>
      <c r="BH16">
        <v>0</v>
      </c>
      <c r="BK16">
        <v>1</v>
      </c>
      <c r="BN16">
        <v>0</v>
      </c>
      <c r="BU16">
        <v>0</v>
      </c>
      <c r="BV16">
        <v>0</v>
      </c>
      <c r="BY16">
        <v>0</v>
      </c>
      <c r="BZ16">
        <v>0</v>
      </c>
      <c r="CC16" s="41">
        <v>0</v>
      </c>
      <c r="CD16">
        <v>7</v>
      </c>
      <c r="CE16">
        <v>7</v>
      </c>
      <c r="CF16">
        <v>0</v>
      </c>
      <c r="CG16">
        <v>1</v>
      </c>
      <c r="CH16">
        <v>1</v>
      </c>
      <c r="CI16">
        <v>0</v>
      </c>
      <c r="CJ16">
        <v>0</v>
      </c>
      <c r="CK16">
        <v>7</v>
      </c>
      <c r="CL16">
        <v>1</v>
      </c>
      <c r="CM16" s="7">
        <v>48</v>
      </c>
    </row>
    <row r="17" spans="1:91" x14ac:dyDescent="0.25">
      <c r="A17" t="s">
        <v>158</v>
      </c>
      <c r="B17" t="s">
        <v>151</v>
      </c>
      <c r="C17">
        <v>227</v>
      </c>
      <c r="Y17" s="41" t="s">
        <v>77</v>
      </c>
      <c r="BG17" s="60" t="s">
        <v>77</v>
      </c>
      <c r="BR17">
        <v>0</v>
      </c>
      <c r="CC17" s="41">
        <v>0</v>
      </c>
      <c r="CD17">
        <v>1</v>
      </c>
      <c r="CE17">
        <v>1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1</v>
      </c>
      <c r="CL17">
        <v>0</v>
      </c>
      <c r="CM17" s="7">
        <v>228</v>
      </c>
    </row>
    <row r="18" spans="1:91" x14ac:dyDescent="0.25">
      <c r="A18" t="s">
        <v>268</v>
      </c>
      <c r="B18" t="s">
        <v>151</v>
      </c>
      <c r="C18">
        <v>50</v>
      </c>
      <c r="H18">
        <v>0</v>
      </c>
      <c r="M18" s="1"/>
      <c r="Y18" s="41" t="s">
        <v>77</v>
      </c>
      <c r="BG18" s="60" t="s">
        <v>77</v>
      </c>
      <c r="BH18">
        <v>0</v>
      </c>
      <c r="BI18">
        <v>0</v>
      </c>
      <c r="BJ18">
        <v>0</v>
      </c>
      <c r="BK18">
        <v>0</v>
      </c>
      <c r="BM18">
        <v>0</v>
      </c>
      <c r="BN18">
        <v>1</v>
      </c>
      <c r="BO18">
        <v>1</v>
      </c>
      <c r="BP18">
        <v>1</v>
      </c>
      <c r="BR18">
        <v>0</v>
      </c>
      <c r="BT18">
        <v>0</v>
      </c>
      <c r="BV18">
        <v>0</v>
      </c>
      <c r="BW18">
        <v>0</v>
      </c>
      <c r="BY18">
        <v>0</v>
      </c>
      <c r="BZ18">
        <v>0</v>
      </c>
      <c r="CA18">
        <v>0</v>
      </c>
      <c r="CB18">
        <v>2</v>
      </c>
      <c r="CC18" s="41">
        <v>0</v>
      </c>
      <c r="CD18">
        <v>16</v>
      </c>
      <c r="CE18">
        <v>16</v>
      </c>
      <c r="CF18">
        <v>0</v>
      </c>
      <c r="CG18">
        <v>5</v>
      </c>
      <c r="CH18">
        <v>5</v>
      </c>
      <c r="CI18">
        <v>1</v>
      </c>
      <c r="CJ18">
        <v>0</v>
      </c>
      <c r="CK18">
        <v>17</v>
      </c>
      <c r="CL18">
        <v>5</v>
      </c>
      <c r="CM18" s="7">
        <v>67</v>
      </c>
    </row>
    <row r="19" spans="1:91" x14ac:dyDescent="0.25">
      <c r="A19" t="s">
        <v>159</v>
      </c>
      <c r="B19" t="s">
        <v>151</v>
      </c>
      <c r="C19">
        <v>90</v>
      </c>
      <c r="D19">
        <v>0</v>
      </c>
      <c r="G19">
        <v>0</v>
      </c>
      <c r="H19">
        <v>0</v>
      </c>
      <c r="I19" s="1"/>
      <c r="J19" s="1"/>
      <c r="K19" s="1">
        <v>0</v>
      </c>
      <c r="M19">
        <v>0</v>
      </c>
      <c r="U19">
        <v>0</v>
      </c>
      <c r="Y19" s="41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2</v>
      </c>
      <c r="AY19">
        <v>0</v>
      </c>
      <c r="AZ19">
        <v>0</v>
      </c>
      <c r="BB19">
        <v>0</v>
      </c>
      <c r="BD19">
        <v>0</v>
      </c>
      <c r="BE19">
        <v>0</v>
      </c>
      <c r="BF19">
        <v>0</v>
      </c>
      <c r="BG19" s="60" t="s">
        <v>77</v>
      </c>
      <c r="CC19" s="41">
        <v>29</v>
      </c>
      <c r="CD19">
        <v>0</v>
      </c>
      <c r="CE19">
        <v>29</v>
      </c>
      <c r="CF19">
        <v>3</v>
      </c>
      <c r="CG19">
        <v>0</v>
      </c>
      <c r="CH19">
        <v>3</v>
      </c>
      <c r="CI19">
        <v>6</v>
      </c>
      <c r="CJ19">
        <v>0</v>
      </c>
      <c r="CK19">
        <v>35</v>
      </c>
      <c r="CL19">
        <v>3</v>
      </c>
      <c r="CM19" s="7">
        <v>125</v>
      </c>
    </row>
    <row r="20" spans="1:91" x14ac:dyDescent="0.25">
      <c r="A20" t="s">
        <v>160</v>
      </c>
      <c r="B20" t="s">
        <v>151</v>
      </c>
      <c r="C20">
        <v>385</v>
      </c>
      <c r="Y20" s="41" t="s">
        <v>77</v>
      </c>
      <c r="BG20" s="60" t="s">
        <v>77</v>
      </c>
      <c r="BY20">
        <v>1</v>
      </c>
      <c r="CC20" s="41">
        <v>0</v>
      </c>
      <c r="CD20">
        <v>1</v>
      </c>
      <c r="CE20">
        <v>1</v>
      </c>
      <c r="CF20">
        <v>0</v>
      </c>
      <c r="CG20">
        <v>1</v>
      </c>
      <c r="CH20">
        <v>1</v>
      </c>
      <c r="CI20">
        <v>0</v>
      </c>
      <c r="CJ20">
        <v>0</v>
      </c>
      <c r="CK20">
        <v>1</v>
      </c>
      <c r="CL20">
        <v>1</v>
      </c>
      <c r="CM20" s="7">
        <v>386</v>
      </c>
    </row>
    <row r="21" spans="1:91" x14ac:dyDescent="0.25">
      <c r="A21" t="s">
        <v>161</v>
      </c>
      <c r="B21" t="s">
        <v>151</v>
      </c>
      <c r="C21">
        <v>234</v>
      </c>
      <c r="D21">
        <v>0</v>
      </c>
      <c r="H21">
        <v>0</v>
      </c>
      <c r="K21">
        <v>0</v>
      </c>
      <c r="M21" s="1">
        <v>0</v>
      </c>
      <c r="N21">
        <v>1</v>
      </c>
      <c r="Y21" s="41" t="s">
        <v>77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N21">
        <v>0</v>
      </c>
      <c r="AO21">
        <v>0</v>
      </c>
      <c r="AP21">
        <v>0</v>
      </c>
      <c r="AR21">
        <v>0</v>
      </c>
      <c r="AS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 s="60" t="s">
        <v>77</v>
      </c>
      <c r="BI21">
        <v>0</v>
      </c>
      <c r="CC21" s="41">
        <v>24</v>
      </c>
      <c r="CD21">
        <v>1</v>
      </c>
      <c r="CE21">
        <v>25</v>
      </c>
      <c r="CF21">
        <v>0</v>
      </c>
      <c r="CG21">
        <v>0</v>
      </c>
      <c r="CH21">
        <v>0</v>
      </c>
      <c r="CI21">
        <v>5</v>
      </c>
      <c r="CJ21">
        <v>1</v>
      </c>
      <c r="CK21">
        <v>30</v>
      </c>
      <c r="CL21">
        <v>1</v>
      </c>
      <c r="CM21" s="7">
        <v>264</v>
      </c>
    </row>
    <row r="22" spans="1:91" x14ac:dyDescent="0.25">
      <c r="A22" t="s">
        <v>162</v>
      </c>
      <c r="B22" t="s">
        <v>151</v>
      </c>
      <c r="C22">
        <v>167</v>
      </c>
      <c r="Y22" s="41" t="s">
        <v>77</v>
      </c>
      <c r="BG22" s="60" t="s">
        <v>77</v>
      </c>
      <c r="CC22" s="41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 s="7">
        <v>167</v>
      </c>
    </row>
    <row r="23" spans="1:91" x14ac:dyDescent="0.25">
      <c r="A23" t="s">
        <v>269</v>
      </c>
      <c r="B23" t="s">
        <v>149</v>
      </c>
      <c r="C23">
        <v>8</v>
      </c>
      <c r="Y23" s="41" t="s">
        <v>77</v>
      </c>
      <c r="BG23" s="60" t="s">
        <v>77</v>
      </c>
      <c r="CC23" s="41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 s="7">
        <v>8</v>
      </c>
    </row>
    <row r="24" spans="1:91" x14ac:dyDescent="0.25">
      <c r="A24" t="s">
        <v>270</v>
      </c>
      <c r="B24" t="s">
        <v>149</v>
      </c>
      <c r="C24">
        <v>32</v>
      </c>
      <c r="Y24" s="41" t="s">
        <v>77</v>
      </c>
      <c r="BG24" s="60" t="s">
        <v>77</v>
      </c>
      <c r="CC24" s="41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 s="7">
        <v>32</v>
      </c>
    </row>
    <row r="25" spans="1:91" x14ac:dyDescent="0.25">
      <c r="A25" t="s">
        <v>163</v>
      </c>
      <c r="B25" t="s">
        <v>151</v>
      </c>
      <c r="C25">
        <v>401</v>
      </c>
      <c r="Y25" s="41" t="s">
        <v>77</v>
      </c>
      <c r="BG25" s="60" t="s">
        <v>77</v>
      </c>
      <c r="CC25" s="41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 s="7">
        <v>401</v>
      </c>
    </row>
    <row r="26" spans="1:91" x14ac:dyDescent="0.25">
      <c r="A26" t="s">
        <v>424</v>
      </c>
      <c r="C26">
        <v>0</v>
      </c>
      <c r="Y26" s="41" t="s">
        <v>77</v>
      </c>
      <c r="BG26" s="60" t="s">
        <v>77</v>
      </c>
      <c r="BZ26">
        <v>0</v>
      </c>
      <c r="CC26" s="41">
        <v>0</v>
      </c>
      <c r="CD26">
        <v>1</v>
      </c>
      <c r="CE26">
        <v>1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1</v>
      </c>
      <c r="CL26">
        <v>0</v>
      </c>
      <c r="CM26" s="7">
        <v>1</v>
      </c>
    </row>
    <row r="27" spans="1:91" x14ac:dyDescent="0.25">
      <c r="A27" t="s">
        <v>164</v>
      </c>
      <c r="B27" t="s">
        <v>151</v>
      </c>
      <c r="C27">
        <v>41</v>
      </c>
      <c r="Y27" s="41" t="s">
        <v>77</v>
      </c>
      <c r="BG27" s="60" t="s">
        <v>77</v>
      </c>
      <c r="CC27" s="41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 s="7">
        <v>41</v>
      </c>
    </row>
    <row r="28" spans="1:91" x14ac:dyDescent="0.25">
      <c r="A28" t="s">
        <v>165</v>
      </c>
      <c r="B28" t="s">
        <v>149</v>
      </c>
      <c r="C28">
        <v>159</v>
      </c>
      <c r="D28">
        <v>0</v>
      </c>
      <c r="F28">
        <v>0</v>
      </c>
      <c r="G28">
        <v>0</v>
      </c>
      <c r="H28">
        <v>0</v>
      </c>
      <c r="I28" s="1"/>
      <c r="J28" s="1"/>
      <c r="K28" s="1">
        <v>0</v>
      </c>
      <c r="M28" s="1">
        <v>0</v>
      </c>
      <c r="N28">
        <v>0</v>
      </c>
      <c r="U28">
        <v>0</v>
      </c>
      <c r="Y28" s="41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1</v>
      </c>
      <c r="AL28">
        <v>1</v>
      </c>
      <c r="AM28">
        <v>0</v>
      </c>
      <c r="AN28">
        <v>0</v>
      </c>
      <c r="AO28">
        <v>0</v>
      </c>
      <c r="AP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1</v>
      </c>
      <c r="BE28">
        <v>0</v>
      </c>
      <c r="BF28">
        <v>0</v>
      </c>
      <c r="BG28" s="60" t="s">
        <v>77</v>
      </c>
      <c r="CC28" s="41">
        <v>32</v>
      </c>
      <c r="CD28">
        <v>0</v>
      </c>
      <c r="CE28">
        <v>32</v>
      </c>
      <c r="CF28">
        <v>3</v>
      </c>
      <c r="CG28">
        <v>0</v>
      </c>
      <c r="CH28">
        <v>3</v>
      </c>
      <c r="CI28">
        <v>8</v>
      </c>
      <c r="CJ28">
        <v>0</v>
      </c>
      <c r="CK28">
        <v>40</v>
      </c>
      <c r="CL28">
        <v>3</v>
      </c>
      <c r="CM28" s="7">
        <v>199</v>
      </c>
    </row>
    <row r="29" spans="1:91" x14ac:dyDescent="0.25">
      <c r="A29" t="s">
        <v>166</v>
      </c>
      <c r="B29" t="s">
        <v>151</v>
      </c>
      <c r="C29">
        <v>19</v>
      </c>
      <c r="Y29" s="41" t="s">
        <v>77</v>
      </c>
      <c r="BG29" s="60" t="s">
        <v>77</v>
      </c>
      <c r="CC29" s="41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 s="7">
        <v>19</v>
      </c>
    </row>
    <row r="30" spans="1:91" x14ac:dyDescent="0.25">
      <c r="A30" t="s">
        <v>167</v>
      </c>
      <c r="B30" t="s">
        <v>151</v>
      </c>
      <c r="C30">
        <v>6</v>
      </c>
      <c r="Y30" s="41" t="s">
        <v>77</v>
      </c>
      <c r="BG30" s="60" t="s">
        <v>77</v>
      </c>
      <c r="BP30">
        <v>0</v>
      </c>
      <c r="CC30" s="41">
        <v>0</v>
      </c>
      <c r="CD30">
        <v>1</v>
      </c>
      <c r="CE30">
        <v>1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1</v>
      </c>
      <c r="CL30">
        <v>0</v>
      </c>
      <c r="CM30" s="7">
        <v>7</v>
      </c>
    </row>
    <row r="31" spans="1:91" x14ac:dyDescent="0.25">
      <c r="A31" t="s">
        <v>168</v>
      </c>
      <c r="B31" t="s">
        <v>151</v>
      </c>
      <c r="C31">
        <v>142</v>
      </c>
      <c r="D31">
        <v>0</v>
      </c>
      <c r="F31">
        <v>0</v>
      </c>
      <c r="G31">
        <v>0</v>
      </c>
      <c r="N31">
        <v>1</v>
      </c>
      <c r="U31">
        <v>0</v>
      </c>
      <c r="Y31" s="4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H31">
        <v>1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Z31">
        <v>0</v>
      </c>
      <c r="BA31">
        <v>0</v>
      </c>
      <c r="BB31">
        <v>0</v>
      </c>
      <c r="BC31">
        <v>1</v>
      </c>
      <c r="BD31">
        <v>0</v>
      </c>
      <c r="BE31">
        <v>0</v>
      </c>
      <c r="BF31">
        <v>0</v>
      </c>
      <c r="BG31" s="60" t="s">
        <v>77</v>
      </c>
      <c r="CC31" s="41">
        <v>29</v>
      </c>
      <c r="CD31">
        <v>0</v>
      </c>
      <c r="CE31">
        <v>29</v>
      </c>
      <c r="CF31">
        <v>3</v>
      </c>
      <c r="CG31">
        <v>0</v>
      </c>
      <c r="CH31">
        <v>3</v>
      </c>
      <c r="CI31">
        <v>5</v>
      </c>
      <c r="CJ31">
        <v>1</v>
      </c>
      <c r="CK31">
        <v>34</v>
      </c>
      <c r="CL31">
        <v>4</v>
      </c>
      <c r="CM31" s="7">
        <v>176</v>
      </c>
    </row>
    <row r="32" spans="1:91" x14ac:dyDescent="0.25">
      <c r="A32" s="1" t="s">
        <v>344</v>
      </c>
      <c r="B32" s="1" t="s">
        <v>149</v>
      </c>
      <c r="C32">
        <v>27</v>
      </c>
      <c r="F32">
        <v>0</v>
      </c>
      <c r="G32">
        <v>0</v>
      </c>
      <c r="V32">
        <v>0</v>
      </c>
      <c r="Y32" s="41" t="s">
        <v>77</v>
      </c>
      <c r="BG32" s="60" t="s">
        <v>77</v>
      </c>
      <c r="BH32">
        <v>0</v>
      </c>
      <c r="BI32">
        <v>0</v>
      </c>
      <c r="BP32">
        <v>0</v>
      </c>
      <c r="BR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Z32">
        <v>0</v>
      </c>
      <c r="CA32">
        <v>0</v>
      </c>
      <c r="CB32">
        <v>0</v>
      </c>
      <c r="CC32" s="41">
        <v>0</v>
      </c>
      <c r="CD32">
        <v>12</v>
      </c>
      <c r="CE32">
        <v>12</v>
      </c>
      <c r="CF32">
        <v>0</v>
      </c>
      <c r="CG32">
        <v>0</v>
      </c>
      <c r="CH32">
        <v>0</v>
      </c>
      <c r="CI32">
        <v>3</v>
      </c>
      <c r="CJ32">
        <v>0</v>
      </c>
      <c r="CK32">
        <v>15</v>
      </c>
      <c r="CL32">
        <v>0</v>
      </c>
      <c r="CM32" s="7">
        <v>42</v>
      </c>
    </row>
    <row r="33" spans="1:91" x14ac:dyDescent="0.25">
      <c r="A33" t="s">
        <v>169</v>
      </c>
      <c r="B33" t="s">
        <v>151</v>
      </c>
      <c r="C33">
        <v>245</v>
      </c>
      <c r="Y33" s="41" t="s">
        <v>77</v>
      </c>
      <c r="BG33" s="60" t="s">
        <v>77</v>
      </c>
      <c r="BR33">
        <v>0</v>
      </c>
      <c r="CC33" s="41">
        <v>0</v>
      </c>
      <c r="CD33">
        <v>1</v>
      </c>
      <c r="CE33">
        <v>1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1</v>
      </c>
      <c r="CL33">
        <v>0</v>
      </c>
      <c r="CM33" s="7">
        <v>246</v>
      </c>
    </row>
    <row r="34" spans="1:91" x14ac:dyDescent="0.25">
      <c r="A34" t="s">
        <v>170</v>
      </c>
      <c r="B34" t="s">
        <v>151</v>
      </c>
      <c r="C34">
        <v>339</v>
      </c>
      <c r="Y34" s="41" t="s">
        <v>77</v>
      </c>
      <c r="BG34" s="60" t="s">
        <v>77</v>
      </c>
      <c r="CC34" s="41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 s="7">
        <v>339</v>
      </c>
    </row>
    <row r="35" spans="1:91" x14ac:dyDescent="0.25">
      <c r="A35" t="s">
        <v>171</v>
      </c>
      <c r="B35" t="s">
        <v>151</v>
      </c>
      <c r="C35">
        <v>276</v>
      </c>
      <c r="Y35" s="41" t="s">
        <v>77</v>
      </c>
      <c r="BG35" s="60" t="s">
        <v>77</v>
      </c>
      <c r="CC35" s="41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 s="7">
        <v>276</v>
      </c>
    </row>
    <row r="36" spans="1:91" x14ac:dyDescent="0.25">
      <c r="A36" t="s">
        <v>172</v>
      </c>
      <c r="B36" t="s">
        <v>151</v>
      </c>
      <c r="C36">
        <v>473</v>
      </c>
      <c r="Y36" s="41" t="s">
        <v>77</v>
      </c>
      <c r="AO36">
        <v>0</v>
      </c>
      <c r="BG36" s="60" t="s">
        <v>77</v>
      </c>
      <c r="BK36">
        <v>3</v>
      </c>
      <c r="BL36">
        <v>0</v>
      </c>
      <c r="BM36">
        <v>2</v>
      </c>
      <c r="BO36">
        <v>2</v>
      </c>
      <c r="BR36">
        <v>4</v>
      </c>
      <c r="BT36">
        <v>2</v>
      </c>
      <c r="BU36">
        <v>0</v>
      </c>
      <c r="BZ36">
        <v>2</v>
      </c>
      <c r="CA36">
        <v>0</v>
      </c>
      <c r="CB36">
        <v>1</v>
      </c>
      <c r="CC36" s="41">
        <v>1</v>
      </c>
      <c r="CD36">
        <v>10</v>
      </c>
      <c r="CE36">
        <v>11</v>
      </c>
      <c r="CF36">
        <v>0</v>
      </c>
      <c r="CG36">
        <v>16</v>
      </c>
      <c r="CH36">
        <v>16</v>
      </c>
      <c r="CI36">
        <v>0</v>
      </c>
      <c r="CJ36">
        <v>0</v>
      </c>
      <c r="CK36">
        <v>11</v>
      </c>
      <c r="CL36">
        <v>16</v>
      </c>
      <c r="CM36" s="7">
        <v>484</v>
      </c>
    </row>
    <row r="37" spans="1:91" x14ac:dyDescent="0.25">
      <c r="A37" t="s">
        <v>173</v>
      </c>
      <c r="B37" t="s">
        <v>151</v>
      </c>
      <c r="C37">
        <v>356</v>
      </c>
      <c r="Y37" s="41" t="s">
        <v>77</v>
      </c>
      <c r="BG37" s="60" t="s">
        <v>77</v>
      </c>
      <c r="CC37" s="41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 s="7">
        <v>356</v>
      </c>
    </row>
    <row r="38" spans="1:91" x14ac:dyDescent="0.25">
      <c r="A38" t="s">
        <v>174</v>
      </c>
      <c r="B38" t="s">
        <v>151</v>
      </c>
      <c r="C38">
        <v>216</v>
      </c>
      <c r="Y38" s="41" t="s">
        <v>77</v>
      </c>
      <c r="BG38" s="60" t="s">
        <v>77</v>
      </c>
      <c r="CC38" s="41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 s="7">
        <v>216</v>
      </c>
    </row>
    <row r="39" spans="1:91" x14ac:dyDescent="0.25">
      <c r="A39" t="s">
        <v>345</v>
      </c>
      <c r="C39">
        <v>1</v>
      </c>
      <c r="F39">
        <v>0</v>
      </c>
      <c r="G39">
        <v>0</v>
      </c>
      <c r="N39">
        <v>0</v>
      </c>
      <c r="Y39" s="41" t="s">
        <v>77</v>
      </c>
      <c r="BG39" s="60" t="s">
        <v>77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C39" s="41">
        <v>0</v>
      </c>
      <c r="CD39">
        <v>17</v>
      </c>
      <c r="CE39">
        <v>17</v>
      </c>
      <c r="CF39">
        <v>0</v>
      </c>
      <c r="CG39">
        <v>0</v>
      </c>
      <c r="CH39">
        <v>0</v>
      </c>
      <c r="CI39">
        <v>3</v>
      </c>
      <c r="CJ39">
        <v>0</v>
      </c>
      <c r="CK39">
        <v>20</v>
      </c>
      <c r="CL39">
        <v>0</v>
      </c>
      <c r="CM39" s="7">
        <v>21</v>
      </c>
    </row>
    <row r="40" spans="1:91" x14ac:dyDescent="0.25">
      <c r="A40" t="s">
        <v>175</v>
      </c>
      <c r="B40" t="s">
        <v>151</v>
      </c>
      <c r="C40">
        <v>253</v>
      </c>
      <c r="V40">
        <v>1</v>
      </c>
      <c r="Y40" s="41" t="s">
        <v>77</v>
      </c>
      <c r="BG40" s="60" t="s">
        <v>77</v>
      </c>
      <c r="BK40">
        <v>0</v>
      </c>
      <c r="BQ40">
        <v>0</v>
      </c>
      <c r="BY40">
        <v>0</v>
      </c>
      <c r="CC40" s="41">
        <v>0</v>
      </c>
      <c r="CD40">
        <v>3</v>
      </c>
      <c r="CE40">
        <v>3</v>
      </c>
      <c r="CF40">
        <v>0</v>
      </c>
      <c r="CG40">
        <v>0</v>
      </c>
      <c r="CH40">
        <v>0</v>
      </c>
      <c r="CI40">
        <v>1</v>
      </c>
      <c r="CJ40">
        <v>1</v>
      </c>
      <c r="CK40">
        <v>4</v>
      </c>
      <c r="CL40">
        <v>1</v>
      </c>
      <c r="CM40" s="7">
        <v>257</v>
      </c>
    </row>
    <row r="41" spans="1:91" x14ac:dyDescent="0.25">
      <c r="A41" t="s">
        <v>346</v>
      </c>
      <c r="C41">
        <v>21</v>
      </c>
      <c r="U41">
        <v>0</v>
      </c>
      <c r="V41">
        <v>0</v>
      </c>
      <c r="Y41" s="41" t="s">
        <v>77</v>
      </c>
      <c r="AB41">
        <v>0</v>
      </c>
      <c r="AD41">
        <v>0</v>
      </c>
      <c r="AE41">
        <v>0</v>
      </c>
      <c r="AF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R41">
        <v>0</v>
      </c>
      <c r="AS41">
        <v>0</v>
      </c>
      <c r="AW41">
        <v>0</v>
      </c>
      <c r="AY41">
        <v>0</v>
      </c>
      <c r="AZ41">
        <v>0</v>
      </c>
      <c r="BA41">
        <v>0</v>
      </c>
      <c r="BB41">
        <v>2</v>
      </c>
      <c r="BC41">
        <v>0</v>
      </c>
      <c r="BD41">
        <v>0</v>
      </c>
      <c r="BF41">
        <v>0</v>
      </c>
      <c r="BG41" s="60" t="s">
        <v>77</v>
      </c>
      <c r="BH41">
        <v>1</v>
      </c>
      <c r="BI41">
        <v>0</v>
      </c>
      <c r="BW41">
        <v>0</v>
      </c>
      <c r="BX41">
        <v>0</v>
      </c>
      <c r="CA41">
        <v>0</v>
      </c>
      <c r="CC41" s="41">
        <v>21</v>
      </c>
      <c r="CD41">
        <v>5</v>
      </c>
      <c r="CE41">
        <v>26</v>
      </c>
      <c r="CF41">
        <v>2</v>
      </c>
      <c r="CG41">
        <v>1</v>
      </c>
      <c r="CH41">
        <v>3</v>
      </c>
      <c r="CI41">
        <v>2</v>
      </c>
      <c r="CJ41">
        <v>0</v>
      </c>
      <c r="CK41">
        <v>28</v>
      </c>
      <c r="CL41">
        <v>3</v>
      </c>
      <c r="CM41" s="7">
        <v>49</v>
      </c>
    </row>
    <row r="42" spans="1:91" x14ac:dyDescent="0.25">
      <c r="A42" t="s">
        <v>176</v>
      </c>
      <c r="B42" t="s">
        <v>151</v>
      </c>
      <c r="C42">
        <v>185</v>
      </c>
      <c r="D42">
        <v>0</v>
      </c>
      <c r="N42">
        <v>0</v>
      </c>
      <c r="Y42" s="41" t="s">
        <v>77</v>
      </c>
      <c r="AD42">
        <v>0</v>
      </c>
      <c r="AE42">
        <v>0</v>
      </c>
      <c r="AF42">
        <v>0</v>
      </c>
      <c r="AW42">
        <v>0</v>
      </c>
      <c r="AX42">
        <v>0</v>
      </c>
      <c r="AY42">
        <v>0</v>
      </c>
      <c r="BG42" s="60" t="s">
        <v>77</v>
      </c>
      <c r="BH42">
        <v>0</v>
      </c>
      <c r="BI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T42">
        <v>0</v>
      </c>
      <c r="BX42">
        <v>0</v>
      </c>
      <c r="BZ42">
        <v>0</v>
      </c>
      <c r="CA42">
        <v>0</v>
      </c>
      <c r="CB42">
        <v>0</v>
      </c>
      <c r="CC42" s="41">
        <v>6</v>
      </c>
      <c r="CD42">
        <v>14</v>
      </c>
      <c r="CE42">
        <v>20</v>
      </c>
      <c r="CF42">
        <v>0</v>
      </c>
      <c r="CG42">
        <v>0</v>
      </c>
      <c r="CH42">
        <v>0</v>
      </c>
      <c r="CI42">
        <v>2</v>
      </c>
      <c r="CJ42">
        <v>0</v>
      </c>
      <c r="CK42">
        <v>22</v>
      </c>
      <c r="CL42">
        <v>0</v>
      </c>
      <c r="CM42" s="7">
        <v>207</v>
      </c>
    </row>
    <row r="43" spans="1:91" x14ac:dyDescent="0.25">
      <c r="A43" t="s">
        <v>177</v>
      </c>
      <c r="B43" t="s">
        <v>149</v>
      </c>
      <c r="C43">
        <v>74</v>
      </c>
      <c r="N43">
        <v>0</v>
      </c>
      <c r="V43">
        <v>0</v>
      </c>
      <c r="Y43" s="41" t="s">
        <v>77</v>
      </c>
      <c r="BG43" s="60" t="s">
        <v>77</v>
      </c>
      <c r="BH43">
        <v>0</v>
      </c>
      <c r="BI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Q43">
        <v>0</v>
      </c>
      <c r="BU43">
        <v>0</v>
      </c>
      <c r="CB43">
        <v>0</v>
      </c>
      <c r="CC43" s="41">
        <v>0</v>
      </c>
      <c r="CD43">
        <v>10</v>
      </c>
      <c r="CE43">
        <v>10</v>
      </c>
      <c r="CF43">
        <v>0</v>
      </c>
      <c r="CG43">
        <v>0</v>
      </c>
      <c r="CH43">
        <v>0</v>
      </c>
      <c r="CI43">
        <v>2</v>
      </c>
      <c r="CJ43">
        <v>0</v>
      </c>
      <c r="CK43">
        <v>12</v>
      </c>
      <c r="CL43">
        <v>0</v>
      </c>
      <c r="CM43" s="7">
        <v>86</v>
      </c>
    </row>
    <row r="44" spans="1:91" x14ac:dyDescent="0.25">
      <c r="A44" t="s">
        <v>425</v>
      </c>
      <c r="C44">
        <v>0</v>
      </c>
      <c r="Y44" s="41" t="s">
        <v>77</v>
      </c>
      <c r="BG44" s="60" t="s">
        <v>77</v>
      </c>
      <c r="BT44">
        <v>0</v>
      </c>
      <c r="BX44">
        <v>0</v>
      </c>
      <c r="CA44">
        <v>0</v>
      </c>
      <c r="CC44" s="41">
        <v>0</v>
      </c>
      <c r="CD44">
        <v>3</v>
      </c>
      <c r="CE44">
        <v>3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3</v>
      </c>
      <c r="CL44">
        <v>0</v>
      </c>
      <c r="CM44" s="7">
        <v>3</v>
      </c>
    </row>
    <row r="45" spans="1:91" x14ac:dyDescent="0.25">
      <c r="A45" t="s">
        <v>178</v>
      </c>
      <c r="B45" t="s">
        <v>149</v>
      </c>
      <c r="C45">
        <v>121</v>
      </c>
      <c r="D45">
        <v>0</v>
      </c>
      <c r="G45">
        <v>0</v>
      </c>
      <c r="H45">
        <v>0</v>
      </c>
      <c r="K45">
        <v>0</v>
      </c>
      <c r="M45">
        <v>1</v>
      </c>
      <c r="U45">
        <v>0</v>
      </c>
      <c r="Y45" s="41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R45">
        <v>1</v>
      </c>
      <c r="AS45">
        <v>0</v>
      </c>
      <c r="AT45">
        <v>0</v>
      </c>
      <c r="AW45">
        <v>0</v>
      </c>
      <c r="AX45">
        <v>0</v>
      </c>
      <c r="AY45">
        <v>1</v>
      </c>
      <c r="AZ45">
        <v>0</v>
      </c>
      <c r="BA45">
        <v>0</v>
      </c>
      <c r="BB45">
        <v>0</v>
      </c>
      <c r="BC45">
        <v>0</v>
      </c>
      <c r="BD45">
        <v>1</v>
      </c>
      <c r="BE45">
        <v>0</v>
      </c>
      <c r="BF45">
        <v>0</v>
      </c>
      <c r="BG45" s="60" t="s">
        <v>77</v>
      </c>
      <c r="CC45" s="41">
        <v>30</v>
      </c>
      <c r="CD45">
        <v>0</v>
      </c>
      <c r="CE45">
        <v>30</v>
      </c>
      <c r="CF45">
        <v>4</v>
      </c>
      <c r="CG45">
        <v>0</v>
      </c>
      <c r="CH45">
        <v>4</v>
      </c>
      <c r="CI45">
        <v>6</v>
      </c>
      <c r="CJ45">
        <v>1</v>
      </c>
      <c r="CK45">
        <v>36</v>
      </c>
      <c r="CL45">
        <v>5</v>
      </c>
      <c r="CM45" s="7">
        <v>157</v>
      </c>
    </row>
    <row r="46" spans="1:91" x14ac:dyDescent="0.25">
      <c r="A46" t="s">
        <v>179</v>
      </c>
      <c r="B46" t="s">
        <v>151</v>
      </c>
      <c r="C46">
        <v>139</v>
      </c>
      <c r="D46">
        <v>2</v>
      </c>
      <c r="F46">
        <v>1</v>
      </c>
      <c r="G46">
        <v>0</v>
      </c>
      <c r="H46">
        <v>0</v>
      </c>
      <c r="K46" s="1">
        <v>0</v>
      </c>
      <c r="M46">
        <v>0</v>
      </c>
      <c r="N46">
        <v>0</v>
      </c>
      <c r="U46">
        <v>0</v>
      </c>
      <c r="Y46" s="41">
        <v>0</v>
      </c>
      <c r="AA46">
        <v>1</v>
      </c>
      <c r="AB46">
        <v>0</v>
      </c>
      <c r="AC46">
        <v>0</v>
      </c>
      <c r="AD46">
        <v>0</v>
      </c>
      <c r="AF46">
        <v>0</v>
      </c>
      <c r="AK46">
        <v>0</v>
      </c>
      <c r="AL46">
        <v>0</v>
      </c>
      <c r="AM46">
        <v>1</v>
      </c>
      <c r="AN46">
        <v>0</v>
      </c>
      <c r="AO46">
        <v>0</v>
      </c>
      <c r="AP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F46">
        <v>0</v>
      </c>
      <c r="BG46" s="60" t="s">
        <v>77</v>
      </c>
      <c r="CC46" s="41">
        <v>25</v>
      </c>
      <c r="CD46">
        <v>0</v>
      </c>
      <c r="CE46">
        <v>25</v>
      </c>
      <c r="CF46">
        <v>2</v>
      </c>
      <c r="CG46">
        <v>0</v>
      </c>
      <c r="CH46">
        <v>2</v>
      </c>
      <c r="CI46">
        <v>8</v>
      </c>
      <c r="CJ46">
        <v>3</v>
      </c>
      <c r="CK46">
        <v>33</v>
      </c>
      <c r="CL46">
        <v>5</v>
      </c>
      <c r="CM46" s="7">
        <v>172</v>
      </c>
    </row>
    <row r="47" spans="1:91" x14ac:dyDescent="0.25">
      <c r="A47" t="s">
        <v>180</v>
      </c>
      <c r="B47" t="s">
        <v>149</v>
      </c>
      <c r="C47">
        <v>83</v>
      </c>
      <c r="Y47" s="41" t="s">
        <v>77</v>
      </c>
      <c r="BG47" s="60" t="s">
        <v>77</v>
      </c>
      <c r="CC47" s="41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 s="7">
        <v>83</v>
      </c>
    </row>
    <row r="48" spans="1:91" x14ac:dyDescent="0.25">
      <c r="A48" t="s">
        <v>347</v>
      </c>
      <c r="B48" t="s">
        <v>149</v>
      </c>
      <c r="C48">
        <v>4</v>
      </c>
      <c r="N48" s="1">
        <v>0</v>
      </c>
      <c r="Y48" s="41" t="s">
        <v>77</v>
      </c>
      <c r="BG48" s="60" t="s">
        <v>77</v>
      </c>
      <c r="CC48" s="41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1</v>
      </c>
      <c r="CJ48">
        <v>0</v>
      </c>
      <c r="CK48">
        <v>1</v>
      </c>
      <c r="CL48">
        <v>0</v>
      </c>
      <c r="CM48" s="7">
        <v>5</v>
      </c>
    </row>
    <row r="49" spans="1:91" x14ac:dyDescent="0.25">
      <c r="A49" t="s">
        <v>181</v>
      </c>
      <c r="B49" t="s">
        <v>151</v>
      </c>
      <c r="C49">
        <v>355</v>
      </c>
      <c r="Y49" s="41" t="s">
        <v>77</v>
      </c>
      <c r="BG49" s="60" t="s">
        <v>77</v>
      </c>
      <c r="CC49" s="41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 s="7">
        <v>355</v>
      </c>
    </row>
    <row r="50" spans="1:91" x14ac:dyDescent="0.25">
      <c r="A50" t="s">
        <v>271</v>
      </c>
      <c r="B50" t="s">
        <v>151</v>
      </c>
      <c r="C50">
        <v>36</v>
      </c>
      <c r="D50">
        <v>0</v>
      </c>
      <c r="H50">
        <v>0</v>
      </c>
      <c r="M50">
        <v>0</v>
      </c>
      <c r="N50">
        <v>0</v>
      </c>
      <c r="V50">
        <v>1</v>
      </c>
      <c r="Y50" s="41" t="s">
        <v>77</v>
      </c>
      <c r="BG50" s="60" t="s">
        <v>77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 s="41">
        <v>0</v>
      </c>
      <c r="CD50">
        <v>20</v>
      </c>
      <c r="CE50">
        <v>20</v>
      </c>
      <c r="CF50">
        <v>0</v>
      </c>
      <c r="CG50">
        <v>0</v>
      </c>
      <c r="CH50">
        <v>0</v>
      </c>
      <c r="CI50">
        <v>5</v>
      </c>
      <c r="CJ50">
        <v>1</v>
      </c>
      <c r="CK50">
        <v>25</v>
      </c>
      <c r="CL50">
        <v>1</v>
      </c>
      <c r="CM50" s="7">
        <v>61</v>
      </c>
    </row>
    <row r="51" spans="1:91" x14ac:dyDescent="0.25">
      <c r="A51" s="1" t="s">
        <v>348</v>
      </c>
      <c r="B51" s="1" t="s">
        <v>149</v>
      </c>
      <c r="C51">
        <v>11</v>
      </c>
      <c r="H51">
        <v>0</v>
      </c>
      <c r="K51">
        <v>0</v>
      </c>
      <c r="U51">
        <v>0</v>
      </c>
      <c r="V51">
        <v>0</v>
      </c>
      <c r="Y51" s="41" t="s">
        <v>77</v>
      </c>
      <c r="AA51">
        <v>0</v>
      </c>
      <c r="AE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P51">
        <v>0</v>
      </c>
      <c r="AS51">
        <v>0</v>
      </c>
      <c r="AT51">
        <v>0</v>
      </c>
      <c r="AX51">
        <v>0</v>
      </c>
      <c r="AY51">
        <v>0</v>
      </c>
      <c r="BG51" s="60" t="s">
        <v>77</v>
      </c>
      <c r="BI51">
        <v>0</v>
      </c>
      <c r="BJ51">
        <v>0</v>
      </c>
      <c r="BK51">
        <v>0</v>
      </c>
      <c r="BL51">
        <v>1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U51">
        <v>0</v>
      </c>
      <c r="BX51">
        <v>0</v>
      </c>
      <c r="BZ51">
        <v>1</v>
      </c>
      <c r="CA51">
        <v>0</v>
      </c>
      <c r="CC51" s="41">
        <v>14</v>
      </c>
      <c r="CD51">
        <v>14</v>
      </c>
      <c r="CE51">
        <v>28</v>
      </c>
      <c r="CF51">
        <v>0</v>
      </c>
      <c r="CG51">
        <v>2</v>
      </c>
      <c r="CH51">
        <v>2</v>
      </c>
      <c r="CI51">
        <v>4</v>
      </c>
      <c r="CJ51">
        <v>0</v>
      </c>
      <c r="CK51">
        <v>32</v>
      </c>
      <c r="CL51">
        <v>2</v>
      </c>
      <c r="CM51" s="7">
        <v>43</v>
      </c>
    </row>
    <row r="52" spans="1:91" x14ac:dyDescent="0.25">
      <c r="A52" t="s">
        <v>182</v>
      </c>
      <c r="B52" t="s">
        <v>151</v>
      </c>
      <c r="C52">
        <v>52</v>
      </c>
      <c r="F52">
        <v>0</v>
      </c>
      <c r="H52">
        <v>0</v>
      </c>
      <c r="M52">
        <v>0</v>
      </c>
      <c r="U52">
        <v>0</v>
      </c>
      <c r="V52">
        <v>0</v>
      </c>
      <c r="Y52" s="41" t="s">
        <v>77</v>
      </c>
      <c r="AD52">
        <v>0</v>
      </c>
      <c r="AG52">
        <v>0</v>
      </c>
      <c r="AI52">
        <v>0</v>
      </c>
      <c r="AJ52">
        <v>0</v>
      </c>
      <c r="AR52">
        <v>0</v>
      </c>
      <c r="AU52">
        <v>0</v>
      </c>
      <c r="BA52">
        <v>0</v>
      </c>
      <c r="BG52" s="60" t="s">
        <v>77</v>
      </c>
      <c r="BH52">
        <v>0</v>
      </c>
      <c r="BI52">
        <v>1</v>
      </c>
      <c r="BJ52">
        <v>0</v>
      </c>
      <c r="BK52">
        <v>0</v>
      </c>
      <c r="BL52">
        <v>1</v>
      </c>
      <c r="BM52">
        <v>0</v>
      </c>
      <c r="BN52">
        <v>1</v>
      </c>
      <c r="BP52">
        <v>0</v>
      </c>
      <c r="BQ52">
        <v>0</v>
      </c>
      <c r="BR52">
        <v>0</v>
      </c>
      <c r="BT52">
        <v>0</v>
      </c>
      <c r="BU52">
        <v>0</v>
      </c>
      <c r="BV52">
        <v>0</v>
      </c>
      <c r="BW52">
        <v>1</v>
      </c>
      <c r="BX52">
        <v>0</v>
      </c>
      <c r="BY52">
        <v>1</v>
      </c>
      <c r="CA52">
        <v>0</v>
      </c>
      <c r="CB52">
        <v>0</v>
      </c>
      <c r="CC52" s="41">
        <v>7</v>
      </c>
      <c r="CD52">
        <v>18</v>
      </c>
      <c r="CE52">
        <v>25</v>
      </c>
      <c r="CF52">
        <v>0</v>
      </c>
      <c r="CG52">
        <v>5</v>
      </c>
      <c r="CH52">
        <v>5</v>
      </c>
      <c r="CI52">
        <v>5</v>
      </c>
      <c r="CJ52">
        <v>0</v>
      </c>
      <c r="CK52">
        <v>30</v>
      </c>
      <c r="CL52">
        <v>5</v>
      </c>
      <c r="CM52" s="7">
        <v>82</v>
      </c>
    </row>
    <row r="53" spans="1:91" x14ac:dyDescent="0.25">
      <c r="A53" t="s">
        <v>183</v>
      </c>
      <c r="B53" t="s">
        <v>151</v>
      </c>
      <c r="C53">
        <v>8</v>
      </c>
      <c r="Y53" s="41" t="s">
        <v>77</v>
      </c>
      <c r="BG53" s="60" t="s">
        <v>77</v>
      </c>
      <c r="CC53" s="41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 s="7">
        <v>8</v>
      </c>
    </row>
    <row r="54" spans="1:91" x14ac:dyDescent="0.25">
      <c r="A54" t="s">
        <v>184</v>
      </c>
      <c r="B54" t="s">
        <v>149</v>
      </c>
      <c r="C54" s="56">
        <v>265</v>
      </c>
      <c r="Y54" s="41" t="s">
        <v>77</v>
      </c>
      <c r="BG54" s="60" t="s">
        <v>77</v>
      </c>
      <c r="CC54" s="41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 s="7">
        <v>265</v>
      </c>
    </row>
    <row r="55" spans="1:91" x14ac:dyDescent="0.25">
      <c r="A55" t="s">
        <v>185</v>
      </c>
      <c r="B55" t="s">
        <v>149</v>
      </c>
      <c r="C55" s="56">
        <v>108</v>
      </c>
      <c r="Y55" s="41" t="s">
        <v>77</v>
      </c>
      <c r="BG55" s="60" t="s">
        <v>77</v>
      </c>
      <c r="CC55" s="41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 s="7">
        <v>108</v>
      </c>
    </row>
    <row r="56" spans="1:91" x14ac:dyDescent="0.25">
      <c r="A56" t="s">
        <v>186</v>
      </c>
      <c r="B56" t="s">
        <v>149</v>
      </c>
      <c r="C56" s="56">
        <v>106</v>
      </c>
      <c r="Y56" s="41" t="s">
        <v>77</v>
      </c>
      <c r="BG56" s="60" t="s">
        <v>77</v>
      </c>
      <c r="CC56" s="41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 s="7">
        <v>106</v>
      </c>
    </row>
    <row r="57" spans="1:91" x14ac:dyDescent="0.25">
      <c r="A57" t="s">
        <v>187</v>
      </c>
      <c r="B57" t="s">
        <v>149</v>
      </c>
      <c r="C57">
        <v>117</v>
      </c>
      <c r="Y57" s="41" t="s">
        <v>77</v>
      </c>
      <c r="BG57" s="60" t="s">
        <v>77</v>
      </c>
      <c r="BM57">
        <v>3</v>
      </c>
      <c r="CB57">
        <v>0</v>
      </c>
      <c r="CC57" s="41">
        <v>0</v>
      </c>
      <c r="CD57">
        <v>2</v>
      </c>
      <c r="CE57">
        <v>2</v>
      </c>
      <c r="CF57">
        <v>0</v>
      </c>
      <c r="CG57">
        <v>3</v>
      </c>
      <c r="CH57">
        <v>3</v>
      </c>
      <c r="CI57">
        <v>0</v>
      </c>
      <c r="CJ57">
        <v>0</v>
      </c>
      <c r="CK57">
        <v>2</v>
      </c>
      <c r="CL57">
        <v>3</v>
      </c>
      <c r="CM57" s="7">
        <v>119</v>
      </c>
    </row>
    <row r="58" spans="1:91" x14ac:dyDescent="0.25">
      <c r="A58" t="s">
        <v>272</v>
      </c>
      <c r="B58" t="s">
        <v>151</v>
      </c>
      <c r="C58">
        <v>69</v>
      </c>
      <c r="D58">
        <v>4</v>
      </c>
      <c r="F58">
        <v>0</v>
      </c>
      <c r="G58">
        <v>0</v>
      </c>
      <c r="H58">
        <v>0</v>
      </c>
      <c r="K58">
        <v>0</v>
      </c>
      <c r="M58">
        <v>2</v>
      </c>
      <c r="N58">
        <v>2</v>
      </c>
      <c r="Y58" s="41" t="s">
        <v>77</v>
      </c>
      <c r="AE58">
        <v>0</v>
      </c>
      <c r="AF58">
        <v>0</v>
      </c>
      <c r="AG58">
        <v>0</v>
      </c>
      <c r="AH58">
        <v>0</v>
      </c>
      <c r="AK58">
        <v>0</v>
      </c>
      <c r="AL58">
        <v>0</v>
      </c>
      <c r="AP58">
        <v>1</v>
      </c>
      <c r="AR58">
        <v>0</v>
      </c>
      <c r="AS58">
        <v>1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</v>
      </c>
      <c r="BA58">
        <v>0</v>
      </c>
      <c r="BB58">
        <v>0</v>
      </c>
      <c r="BC58">
        <v>0</v>
      </c>
      <c r="BD58">
        <v>0</v>
      </c>
      <c r="BE58">
        <v>1</v>
      </c>
      <c r="BG58" s="60" t="s">
        <v>77</v>
      </c>
      <c r="BP58">
        <v>0</v>
      </c>
      <c r="CC58" s="41">
        <v>20</v>
      </c>
      <c r="CD58">
        <v>1</v>
      </c>
      <c r="CE58">
        <v>21</v>
      </c>
      <c r="CF58">
        <v>4</v>
      </c>
      <c r="CG58">
        <v>0</v>
      </c>
      <c r="CH58">
        <v>4</v>
      </c>
      <c r="CI58">
        <v>7</v>
      </c>
      <c r="CJ58">
        <v>8</v>
      </c>
      <c r="CK58">
        <v>28</v>
      </c>
      <c r="CL58">
        <v>12</v>
      </c>
      <c r="CM58" s="7">
        <v>97</v>
      </c>
    </row>
    <row r="59" spans="1:91" x14ac:dyDescent="0.25">
      <c r="A59" t="s">
        <v>188</v>
      </c>
      <c r="B59" t="s">
        <v>151</v>
      </c>
      <c r="C59">
        <v>212</v>
      </c>
      <c r="D59">
        <v>1</v>
      </c>
      <c r="F59">
        <v>2</v>
      </c>
      <c r="G59">
        <v>2</v>
      </c>
      <c r="M59" s="1">
        <v>1</v>
      </c>
      <c r="N59">
        <v>4</v>
      </c>
      <c r="U59">
        <v>0</v>
      </c>
      <c r="Y59" s="41">
        <v>0</v>
      </c>
      <c r="AA59">
        <v>0</v>
      </c>
      <c r="AB59">
        <v>0</v>
      </c>
      <c r="AC59">
        <v>0</v>
      </c>
      <c r="AD59">
        <v>0</v>
      </c>
      <c r="AE59">
        <v>3</v>
      </c>
      <c r="AF59">
        <v>0</v>
      </c>
      <c r="AG59">
        <v>0</v>
      </c>
      <c r="AH59">
        <v>0</v>
      </c>
      <c r="AI59">
        <v>0</v>
      </c>
      <c r="AJ59">
        <v>1</v>
      </c>
      <c r="AW59">
        <v>0</v>
      </c>
      <c r="AX59">
        <v>0</v>
      </c>
      <c r="AY59">
        <v>0</v>
      </c>
      <c r="AZ59">
        <v>1</v>
      </c>
      <c r="BA59">
        <v>2</v>
      </c>
      <c r="BC59">
        <v>0</v>
      </c>
      <c r="BD59">
        <v>1</v>
      </c>
      <c r="BE59">
        <v>0</v>
      </c>
      <c r="BF59">
        <v>1</v>
      </c>
      <c r="BG59" s="60" t="s">
        <v>77</v>
      </c>
      <c r="BT59">
        <v>0</v>
      </c>
      <c r="CC59" s="41">
        <v>20</v>
      </c>
      <c r="CD59">
        <v>1</v>
      </c>
      <c r="CE59">
        <v>21</v>
      </c>
      <c r="CF59">
        <v>9</v>
      </c>
      <c r="CG59">
        <v>0</v>
      </c>
      <c r="CH59">
        <v>9</v>
      </c>
      <c r="CI59">
        <v>6</v>
      </c>
      <c r="CJ59">
        <v>10</v>
      </c>
      <c r="CK59">
        <v>27</v>
      </c>
      <c r="CL59">
        <v>19</v>
      </c>
      <c r="CM59" s="7">
        <v>239</v>
      </c>
    </row>
    <row r="60" spans="1:91" x14ac:dyDescent="0.25">
      <c r="A60" s="1" t="s">
        <v>349</v>
      </c>
      <c r="B60" s="1" t="s">
        <v>151</v>
      </c>
      <c r="C60">
        <v>13</v>
      </c>
      <c r="Y60" s="41" t="s">
        <v>77</v>
      </c>
      <c r="AZ60">
        <v>0</v>
      </c>
      <c r="BG60" s="60" t="s">
        <v>77</v>
      </c>
      <c r="BY60">
        <v>0</v>
      </c>
      <c r="CC60" s="41">
        <v>1</v>
      </c>
      <c r="CD60">
        <v>1</v>
      </c>
      <c r="CE60">
        <v>2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2</v>
      </c>
      <c r="CL60">
        <v>0</v>
      </c>
      <c r="CM60" s="7">
        <v>15</v>
      </c>
    </row>
    <row r="61" spans="1:91" x14ac:dyDescent="0.25">
      <c r="A61" t="s">
        <v>189</v>
      </c>
      <c r="B61" t="s">
        <v>151</v>
      </c>
      <c r="C61">
        <v>95</v>
      </c>
      <c r="H61">
        <v>0</v>
      </c>
      <c r="V61">
        <v>0</v>
      </c>
      <c r="Y61" s="41" t="s">
        <v>77</v>
      </c>
      <c r="BG61" s="60" t="s">
        <v>77</v>
      </c>
      <c r="BH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 s="41">
        <v>0</v>
      </c>
      <c r="CD61">
        <v>18</v>
      </c>
      <c r="CE61">
        <v>18</v>
      </c>
      <c r="CF61">
        <v>0</v>
      </c>
      <c r="CG61">
        <v>0</v>
      </c>
      <c r="CH61">
        <v>0</v>
      </c>
      <c r="CI61">
        <v>2</v>
      </c>
      <c r="CJ61">
        <v>0</v>
      </c>
      <c r="CK61">
        <v>20</v>
      </c>
      <c r="CL61">
        <v>0</v>
      </c>
      <c r="CM61" s="7">
        <v>115</v>
      </c>
    </row>
    <row r="62" spans="1:91" x14ac:dyDescent="0.25">
      <c r="A62" t="s">
        <v>190</v>
      </c>
      <c r="B62" t="s">
        <v>151</v>
      </c>
      <c r="C62">
        <v>147</v>
      </c>
      <c r="K62">
        <v>0</v>
      </c>
      <c r="Y62" s="41">
        <v>0</v>
      </c>
      <c r="AA62">
        <v>0</v>
      </c>
      <c r="AB62">
        <v>0</v>
      </c>
      <c r="AC62">
        <v>0</v>
      </c>
      <c r="AE62">
        <v>0</v>
      </c>
      <c r="AF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S62">
        <v>0</v>
      </c>
      <c r="AT62">
        <v>0</v>
      </c>
      <c r="AV62">
        <v>0</v>
      </c>
      <c r="AW62">
        <v>0</v>
      </c>
      <c r="AX62">
        <v>0</v>
      </c>
      <c r="AY62">
        <v>0</v>
      </c>
      <c r="BA62">
        <v>0</v>
      </c>
      <c r="BB62">
        <v>0</v>
      </c>
      <c r="BC62">
        <v>0</v>
      </c>
      <c r="BD62">
        <v>1</v>
      </c>
      <c r="BE62">
        <v>0</v>
      </c>
      <c r="BF62">
        <v>0</v>
      </c>
      <c r="BG62" s="60" t="s">
        <v>77</v>
      </c>
      <c r="CC62" s="41">
        <v>26</v>
      </c>
      <c r="CD62">
        <v>0</v>
      </c>
      <c r="CE62">
        <v>26</v>
      </c>
      <c r="CF62">
        <v>1</v>
      </c>
      <c r="CG62">
        <v>0</v>
      </c>
      <c r="CH62">
        <v>1</v>
      </c>
      <c r="CI62">
        <v>1</v>
      </c>
      <c r="CJ62">
        <v>0</v>
      </c>
      <c r="CK62">
        <v>27</v>
      </c>
      <c r="CL62">
        <v>1</v>
      </c>
      <c r="CM62" s="7">
        <v>174</v>
      </c>
    </row>
    <row r="63" spans="1:91" x14ac:dyDescent="0.25">
      <c r="A63" t="s">
        <v>191</v>
      </c>
      <c r="B63" t="s">
        <v>151</v>
      </c>
      <c r="C63">
        <v>84</v>
      </c>
      <c r="Y63" s="41" t="s">
        <v>77</v>
      </c>
      <c r="BG63" s="60" t="s">
        <v>77</v>
      </c>
      <c r="BP63">
        <v>0</v>
      </c>
      <c r="BR63">
        <v>0</v>
      </c>
      <c r="CC63" s="41">
        <v>0</v>
      </c>
      <c r="CD63">
        <v>2</v>
      </c>
      <c r="CE63">
        <v>2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2</v>
      </c>
      <c r="CL63">
        <v>0</v>
      </c>
      <c r="CM63" s="7">
        <v>86</v>
      </c>
    </row>
    <row r="64" spans="1:91" x14ac:dyDescent="0.25">
      <c r="A64" t="s">
        <v>192</v>
      </c>
      <c r="B64" t="s">
        <v>149</v>
      </c>
      <c r="C64" s="56">
        <v>317</v>
      </c>
      <c r="D64">
        <v>0</v>
      </c>
      <c r="H64">
        <v>0</v>
      </c>
      <c r="K64">
        <v>0</v>
      </c>
      <c r="M64">
        <v>0</v>
      </c>
      <c r="N64">
        <v>0</v>
      </c>
      <c r="V64">
        <v>0</v>
      </c>
      <c r="Y64" s="41" t="s">
        <v>77</v>
      </c>
      <c r="AT64">
        <v>0</v>
      </c>
      <c r="BG64" s="60" t="s">
        <v>77</v>
      </c>
      <c r="BH64">
        <v>0</v>
      </c>
      <c r="BI64">
        <v>0</v>
      </c>
      <c r="BJ64">
        <v>0</v>
      </c>
      <c r="BK64">
        <v>0</v>
      </c>
      <c r="BL64">
        <v>1</v>
      </c>
      <c r="BM64">
        <v>0</v>
      </c>
      <c r="BN64">
        <v>0</v>
      </c>
      <c r="BO64">
        <v>0</v>
      </c>
      <c r="BP64">
        <v>0</v>
      </c>
      <c r="BQ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CB64">
        <v>0</v>
      </c>
      <c r="CC64" s="41">
        <v>1</v>
      </c>
      <c r="CD64">
        <v>16</v>
      </c>
      <c r="CE64">
        <v>17</v>
      </c>
      <c r="CF64">
        <v>0</v>
      </c>
      <c r="CG64">
        <v>1</v>
      </c>
      <c r="CH64">
        <v>1</v>
      </c>
      <c r="CI64">
        <v>6</v>
      </c>
      <c r="CJ64">
        <v>0</v>
      </c>
      <c r="CK64">
        <v>23</v>
      </c>
      <c r="CL64">
        <v>1</v>
      </c>
      <c r="CM64" s="7">
        <v>340</v>
      </c>
    </row>
    <row r="65" spans="1:91" x14ac:dyDescent="0.25">
      <c r="A65" s="1" t="s">
        <v>426</v>
      </c>
      <c r="B65" s="1" t="s">
        <v>151</v>
      </c>
      <c r="C65">
        <v>0</v>
      </c>
      <c r="V65">
        <v>0</v>
      </c>
      <c r="Y65" s="41" t="s">
        <v>77</v>
      </c>
      <c r="AN65">
        <v>0</v>
      </c>
      <c r="AU65">
        <v>0</v>
      </c>
      <c r="AV65">
        <v>0</v>
      </c>
      <c r="AY65">
        <v>0</v>
      </c>
      <c r="AZ65">
        <v>0</v>
      </c>
      <c r="BB65">
        <v>0</v>
      </c>
      <c r="BD65">
        <v>0</v>
      </c>
      <c r="BF65">
        <v>0</v>
      </c>
      <c r="BG65" s="60" t="s">
        <v>77</v>
      </c>
      <c r="BH65">
        <v>0</v>
      </c>
      <c r="BL65">
        <v>1</v>
      </c>
      <c r="BM65">
        <v>0</v>
      </c>
      <c r="BO65">
        <v>0</v>
      </c>
      <c r="BQ65">
        <v>0</v>
      </c>
      <c r="BU65">
        <v>0</v>
      </c>
      <c r="BW65">
        <v>0</v>
      </c>
      <c r="BX65">
        <v>0</v>
      </c>
      <c r="CC65" s="41">
        <v>8</v>
      </c>
      <c r="CD65">
        <v>8</v>
      </c>
      <c r="CE65">
        <v>16</v>
      </c>
      <c r="CF65">
        <v>0</v>
      </c>
      <c r="CG65">
        <v>1</v>
      </c>
      <c r="CH65">
        <v>1</v>
      </c>
      <c r="CI65">
        <v>1</v>
      </c>
      <c r="CJ65">
        <v>0</v>
      </c>
      <c r="CK65">
        <v>17</v>
      </c>
      <c r="CL65">
        <v>1</v>
      </c>
      <c r="CM65" s="7">
        <v>17</v>
      </c>
    </row>
    <row r="66" spans="1:91" x14ac:dyDescent="0.25">
      <c r="A66" t="s">
        <v>193</v>
      </c>
      <c r="B66" t="s">
        <v>151</v>
      </c>
      <c r="C66">
        <v>77</v>
      </c>
      <c r="D66">
        <v>1</v>
      </c>
      <c r="G66">
        <v>1</v>
      </c>
      <c r="H66">
        <v>0</v>
      </c>
      <c r="K66">
        <v>0</v>
      </c>
      <c r="U66">
        <v>0</v>
      </c>
      <c r="Y66" s="41">
        <v>0</v>
      </c>
      <c r="AA66">
        <v>1</v>
      </c>
      <c r="AB66">
        <v>0</v>
      </c>
      <c r="AC66">
        <v>1</v>
      </c>
      <c r="AD66">
        <v>0</v>
      </c>
      <c r="AE66">
        <v>1</v>
      </c>
      <c r="AG66">
        <v>0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 s="60" t="s">
        <v>77</v>
      </c>
      <c r="BV66">
        <v>0</v>
      </c>
      <c r="CC66" s="41">
        <v>23</v>
      </c>
      <c r="CD66">
        <v>1</v>
      </c>
      <c r="CE66">
        <v>24</v>
      </c>
      <c r="CF66">
        <v>4</v>
      </c>
      <c r="CG66">
        <v>0</v>
      </c>
      <c r="CH66">
        <v>4</v>
      </c>
      <c r="CI66">
        <v>5</v>
      </c>
      <c r="CJ66">
        <v>2</v>
      </c>
      <c r="CK66">
        <v>29</v>
      </c>
      <c r="CL66">
        <v>6</v>
      </c>
      <c r="CM66" s="7">
        <v>106</v>
      </c>
    </row>
    <row r="67" spans="1:91" x14ac:dyDescent="0.25">
      <c r="A67" t="s">
        <v>194</v>
      </c>
      <c r="B67" t="s">
        <v>149</v>
      </c>
      <c r="C67">
        <v>136</v>
      </c>
      <c r="K67" s="1">
        <v>0</v>
      </c>
      <c r="Y67" s="41" t="s">
        <v>77</v>
      </c>
      <c r="AT67">
        <v>0</v>
      </c>
      <c r="AU67">
        <v>0</v>
      </c>
      <c r="AV67">
        <v>0</v>
      </c>
      <c r="BG67" s="60" t="s">
        <v>77</v>
      </c>
      <c r="BU67">
        <v>0</v>
      </c>
      <c r="BV67">
        <v>0</v>
      </c>
      <c r="BW67">
        <v>1</v>
      </c>
      <c r="BX67">
        <v>0</v>
      </c>
      <c r="BY67">
        <v>0</v>
      </c>
      <c r="BZ67">
        <v>0</v>
      </c>
      <c r="CB67">
        <v>0</v>
      </c>
      <c r="CC67" s="41">
        <v>3</v>
      </c>
      <c r="CD67">
        <v>7</v>
      </c>
      <c r="CE67">
        <v>10</v>
      </c>
      <c r="CF67">
        <v>0</v>
      </c>
      <c r="CG67">
        <v>1</v>
      </c>
      <c r="CH67">
        <v>1</v>
      </c>
      <c r="CI67">
        <v>1</v>
      </c>
      <c r="CJ67">
        <v>0</v>
      </c>
      <c r="CK67">
        <v>11</v>
      </c>
      <c r="CL67">
        <v>1</v>
      </c>
      <c r="CM67" s="7">
        <v>147</v>
      </c>
    </row>
    <row r="68" spans="1:91" x14ac:dyDescent="0.25">
      <c r="A68" t="s">
        <v>350</v>
      </c>
      <c r="C68">
        <v>7</v>
      </c>
      <c r="F68">
        <v>0</v>
      </c>
      <c r="G68">
        <v>1</v>
      </c>
      <c r="N68">
        <v>0</v>
      </c>
      <c r="V68">
        <v>0</v>
      </c>
      <c r="Y68" s="41">
        <v>0</v>
      </c>
      <c r="BG68" s="60" t="s">
        <v>77</v>
      </c>
      <c r="BI68">
        <v>0</v>
      </c>
      <c r="BJ68">
        <v>0</v>
      </c>
      <c r="BL68">
        <v>0</v>
      </c>
      <c r="BM68">
        <v>0</v>
      </c>
      <c r="BN68">
        <v>1</v>
      </c>
      <c r="BU68">
        <v>0</v>
      </c>
      <c r="BW68">
        <v>0</v>
      </c>
      <c r="CC68" s="41">
        <v>1</v>
      </c>
      <c r="CD68">
        <v>7</v>
      </c>
      <c r="CE68">
        <v>8</v>
      </c>
      <c r="CF68">
        <v>0</v>
      </c>
      <c r="CG68">
        <v>1</v>
      </c>
      <c r="CH68">
        <v>1</v>
      </c>
      <c r="CI68">
        <v>4</v>
      </c>
      <c r="CJ68">
        <v>1</v>
      </c>
      <c r="CK68">
        <v>12</v>
      </c>
      <c r="CL68">
        <v>2</v>
      </c>
      <c r="CM68" s="7">
        <v>19</v>
      </c>
    </row>
    <row r="69" spans="1:91" x14ac:dyDescent="0.25">
      <c r="A69" t="s">
        <v>273</v>
      </c>
      <c r="B69" t="s">
        <v>149</v>
      </c>
      <c r="C69">
        <v>47</v>
      </c>
      <c r="D69">
        <v>0</v>
      </c>
      <c r="M69">
        <v>0</v>
      </c>
      <c r="N69">
        <v>0</v>
      </c>
      <c r="U69">
        <v>0</v>
      </c>
      <c r="V69">
        <v>0</v>
      </c>
      <c r="Y69" s="41">
        <v>0</v>
      </c>
      <c r="AG69">
        <v>0</v>
      </c>
      <c r="BG69" s="60" t="s">
        <v>77</v>
      </c>
      <c r="BH69">
        <v>0</v>
      </c>
      <c r="BI69">
        <v>0</v>
      </c>
      <c r="BJ69">
        <v>0</v>
      </c>
      <c r="BK69">
        <v>0</v>
      </c>
      <c r="CC69" s="41">
        <v>2</v>
      </c>
      <c r="CD69">
        <v>4</v>
      </c>
      <c r="CE69">
        <v>6</v>
      </c>
      <c r="CF69">
        <v>0</v>
      </c>
      <c r="CG69">
        <v>0</v>
      </c>
      <c r="CH69">
        <v>0</v>
      </c>
      <c r="CI69">
        <v>5</v>
      </c>
      <c r="CJ69">
        <v>0</v>
      </c>
      <c r="CK69">
        <v>11</v>
      </c>
      <c r="CL69">
        <v>0</v>
      </c>
      <c r="CM69" s="7">
        <v>58</v>
      </c>
    </row>
    <row r="70" spans="1:91" x14ac:dyDescent="0.25">
      <c r="A70" t="s">
        <v>195</v>
      </c>
      <c r="B70" t="s">
        <v>149</v>
      </c>
      <c r="C70" s="56">
        <v>205</v>
      </c>
      <c r="Y70" s="41" t="s">
        <v>77</v>
      </c>
      <c r="BG70" s="60" t="s">
        <v>77</v>
      </c>
      <c r="CC70" s="41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 s="7">
        <v>205</v>
      </c>
    </row>
    <row r="71" spans="1:91" x14ac:dyDescent="0.25">
      <c r="A71" t="s">
        <v>196</v>
      </c>
      <c r="B71" t="s">
        <v>149</v>
      </c>
      <c r="C71" s="56">
        <v>250</v>
      </c>
      <c r="Y71" s="41" t="s">
        <v>77</v>
      </c>
      <c r="AU71">
        <v>0</v>
      </c>
      <c r="AV71">
        <v>0</v>
      </c>
      <c r="AW71">
        <v>0</v>
      </c>
      <c r="AX71">
        <v>2</v>
      </c>
      <c r="AY71">
        <v>0</v>
      </c>
      <c r="BD71">
        <v>0</v>
      </c>
      <c r="BE71">
        <v>2</v>
      </c>
      <c r="BF71">
        <v>0</v>
      </c>
      <c r="BG71" s="60" t="s">
        <v>77</v>
      </c>
      <c r="BJ71">
        <v>0</v>
      </c>
      <c r="BQ71">
        <v>0</v>
      </c>
      <c r="BT71">
        <v>0</v>
      </c>
      <c r="CC71" s="41">
        <v>8</v>
      </c>
      <c r="CD71">
        <v>3</v>
      </c>
      <c r="CE71">
        <v>11</v>
      </c>
      <c r="CF71">
        <v>4</v>
      </c>
      <c r="CG71">
        <v>0</v>
      </c>
      <c r="CH71">
        <v>4</v>
      </c>
      <c r="CI71">
        <v>0</v>
      </c>
      <c r="CJ71">
        <v>0</v>
      </c>
      <c r="CK71">
        <v>11</v>
      </c>
      <c r="CL71">
        <v>4</v>
      </c>
      <c r="CM71" s="7">
        <v>261</v>
      </c>
    </row>
    <row r="72" spans="1:91" x14ac:dyDescent="0.25">
      <c r="A72" t="s">
        <v>197</v>
      </c>
      <c r="B72" t="s">
        <v>149</v>
      </c>
      <c r="C72" s="56">
        <v>130</v>
      </c>
      <c r="Y72" s="41" t="s">
        <v>77</v>
      </c>
      <c r="BG72" s="60" t="s">
        <v>77</v>
      </c>
      <c r="CC72" s="41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 s="7">
        <v>130</v>
      </c>
    </row>
    <row r="73" spans="1:91" x14ac:dyDescent="0.25">
      <c r="A73" t="s">
        <v>198</v>
      </c>
      <c r="B73" t="s">
        <v>151</v>
      </c>
      <c r="C73">
        <v>91</v>
      </c>
      <c r="D73">
        <v>0</v>
      </c>
      <c r="F73">
        <v>0</v>
      </c>
      <c r="G73">
        <v>0</v>
      </c>
      <c r="H73">
        <v>0</v>
      </c>
      <c r="I73" s="1"/>
      <c r="J73" s="1"/>
      <c r="K73" s="1">
        <v>0</v>
      </c>
      <c r="M73">
        <v>0</v>
      </c>
      <c r="N73">
        <v>0</v>
      </c>
      <c r="U73">
        <v>0</v>
      </c>
      <c r="V73">
        <v>0</v>
      </c>
      <c r="Y73" s="41">
        <v>0</v>
      </c>
      <c r="AA73">
        <v>0</v>
      </c>
      <c r="AB73">
        <v>0</v>
      </c>
      <c r="AC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 s="60" t="s">
        <v>77</v>
      </c>
      <c r="BK73">
        <v>0</v>
      </c>
      <c r="BW73">
        <v>0</v>
      </c>
      <c r="CC73" s="41">
        <v>26</v>
      </c>
      <c r="CD73">
        <v>2</v>
      </c>
      <c r="CE73">
        <v>28</v>
      </c>
      <c r="CF73">
        <v>0</v>
      </c>
      <c r="CG73">
        <v>0</v>
      </c>
      <c r="CH73">
        <v>0</v>
      </c>
      <c r="CI73">
        <v>9</v>
      </c>
      <c r="CJ73">
        <v>0</v>
      </c>
      <c r="CK73">
        <v>37</v>
      </c>
      <c r="CL73">
        <v>0</v>
      </c>
      <c r="CM73" s="7">
        <v>128</v>
      </c>
    </row>
    <row r="74" spans="1:91" x14ac:dyDescent="0.25">
      <c r="A74" t="s">
        <v>199</v>
      </c>
      <c r="B74" t="s">
        <v>151</v>
      </c>
      <c r="C74">
        <v>107</v>
      </c>
      <c r="Y74" s="41" t="s">
        <v>77</v>
      </c>
      <c r="BG74" s="60" t="s">
        <v>77</v>
      </c>
      <c r="CC74" s="41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 s="7">
        <v>107</v>
      </c>
    </row>
    <row r="75" spans="1:91" x14ac:dyDescent="0.25">
      <c r="A75" t="s">
        <v>427</v>
      </c>
      <c r="C75">
        <v>0</v>
      </c>
      <c r="Y75" s="41" t="s">
        <v>77</v>
      </c>
      <c r="BG75" s="60" t="s">
        <v>77</v>
      </c>
      <c r="CB75">
        <v>0</v>
      </c>
      <c r="CC75" s="41">
        <v>0</v>
      </c>
      <c r="CD75">
        <v>1</v>
      </c>
      <c r="CE75">
        <v>1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1</v>
      </c>
      <c r="CL75">
        <v>0</v>
      </c>
      <c r="CM75" s="7">
        <v>1</v>
      </c>
    </row>
    <row r="76" spans="1:91" x14ac:dyDescent="0.25">
      <c r="A76" t="s">
        <v>200</v>
      </c>
      <c r="B76" t="s">
        <v>149</v>
      </c>
      <c r="C76">
        <v>98</v>
      </c>
      <c r="D76">
        <v>0</v>
      </c>
      <c r="G76">
        <v>1</v>
      </c>
      <c r="K76">
        <v>0</v>
      </c>
      <c r="M76">
        <v>0</v>
      </c>
      <c r="Y76" s="41">
        <v>0</v>
      </c>
      <c r="AA76">
        <v>1</v>
      </c>
      <c r="AB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1</v>
      </c>
      <c r="AL76">
        <v>0</v>
      </c>
      <c r="AM76">
        <v>0</v>
      </c>
      <c r="AN76">
        <v>0</v>
      </c>
      <c r="AP76">
        <v>1</v>
      </c>
      <c r="AR76">
        <v>0</v>
      </c>
      <c r="AS76">
        <v>1</v>
      </c>
      <c r="AT76">
        <v>0</v>
      </c>
      <c r="BG76" s="60" t="s">
        <v>77</v>
      </c>
      <c r="BZ76">
        <v>0</v>
      </c>
      <c r="CA76">
        <v>0</v>
      </c>
      <c r="CC76" s="41">
        <v>17</v>
      </c>
      <c r="CD76">
        <v>2</v>
      </c>
      <c r="CE76">
        <v>19</v>
      </c>
      <c r="CF76">
        <v>4</v>
      </c>
      <c r="CG76">
        <v>0</v>
      </c>
      <c r="CH76">
        <v>4</v>
      </c>
      <c r="CI76">
        <v>4</v>
      </c>
      <c r="CJ76">
        <v>1</v>
      </c>
      <c r="CK76">
        <v>23</v>
      </c>
      <c r="CL76">
        <v>5</v>
      </c>
      <c r="CM76" s="7">
        <v>121</v>
      </c>
    </row>
    <row r="77" spans="1:91" x14ac:dyDescent="0.25">
      <c r="A77" t="s">
        <v>351</v>
      </c>
      <c r="B77" t="s">
        <v>149</v>
      </c>
      <c r="C77">
        <v>12</v>
      </c>
      <c r="U77">
        <v>0</v>
      </c>
      <c r="Y77" s="41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1</v>
      </c>
      <c r="AL77">
        <v>0</v>
      </c>
      <c r="AM77">
        <v>2</v>
      </c>
      <c r="AN77">
        <v>0</v>
      </c>
      <c r="AO77">
        <v>0</v>
      </c>
      <c r="AP77">
        <v>0</v>
      </c>
      <c r="AS77">
        <v>0</v>
      </c>
      <c r="BG77" s="60" t="s">
        <v>77</v>
      </c>
      <c r="CC77" s="41">
        <v>18</v>
      </c>
      <c r="CD77">
        <v>0</v>
      </c>
      <c r="CE77">
        <v>18</v>
      </c>
      <c r="CF77">
        <v>4</v>
      </c>
      <c r="CG77">
        <v>0</v>
      </c>
      <c r="CH77">
        <v>4</v>
      </c>
      <c r="CI77">
        <v>1</v>
      </c>
      <c r="CJ77">
        <v>0</v>
      </c>
      <c r="CK77">
        <v>19</v>
      </c>
      <c r="CL77">
        <v>4</v>
      </c>
      <c r="CM77" s="7">
        <v>31</v>
      </c>
    </row>
    <row r="78" spans="1:91" x14ac:dyDescent="0.25">
      <c r="A78" t="s">
        <v>352</v>
      </c>
      <c r="B78" t="s">
        <v>151</v>
      </c>
      <c r="C78">
        <v>48</v>
      </c>
      <c r="F78">
        <v>0</v>
      </c>
      <c r="G78">
        <v>0</v>
      </c>
      <c r="Y78" s="41" t="s">
        <v>77</v>
      </c>
      <c r="BG78" s="60" t="s">
        <v>77</v>
      </c>
      <c r="BJ78">
        <v>0</v>
      </c>
      <c r="BL78">
        <v>0</v>
      </c>
      <c r="BM78">
        <v>0</v>
      </c>
      <c r="BN78">
        <v>0</v>
      </c>
      <c r="BO78">
        <v>0</v>
      </c>
      <c r="BQ78">
        <v>1</v>
      </c>
      <c r="BW78">
        <v>1</v>
      </c>
      <c r="BY78">
        <v>1</v>
      </c>
      <c r="BZ78">
        <v>0</v>
      </c>
      <c r="CC78" s="41">
        <v>0</v>
      </c>
      <c r="CD78">
        <v>9</v>
      </c>
      <c r="CE78">
        <v>9</v>
      </c>
      <c r="CF78">
        <v>0</v>
      </c>
      <c r="CG78">
        <v>3</v>
      </c>
      <c r="CH78">
        <v>3</v>
      </c>
      <c r="CI78">
        <v>2</v>
      </c>
      <c r="CJ78">
        <v>0</v>
      </c>
      <c r="CK78">
        <v>11</v>
      </c>
      <c r="CL78">
        <v>3</v>
      </c>
      <c r="CM78" s="7">
        <v>59</v>
      </c>
    </row>
    <row r="79" spans="1:91" x14ac:dyDescent="0.25">
      <c r="A79" t="s">
        <v>201</v>
      </c>
      <c r="B79" t="s">
        <v>151</v>
      </c>
      <c r="C79">
        <v>96</v>
      </c>
      <c r="Y79" s="41" t="s">
        <v>77</v>
      </c>
      <c r="BG79" s="60" t="s">
        <v>77</v>
      </c>
      <c r="CC79" s="41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 s="7">
        <v>96</v>
      </c>
    </row>
    <row r="80" spans="1:91" x14ac:dyDescent="0.25">
      <c r="A80" t="s">
        <v>202</v>
      </c>
      <c r="B80" t="s">
        <v>151</v>
      </c>
      <c r="C80">
        <v>49</v>
      </c>
      <c r="F80">
        <v>0</v>
      </c>
      <c r="N80">
        <v>0</v>
      </c>
      <c r="V80">
        <v>0</v>
      </c>
      <c r="Y80" s="41" t="s">
        <v>77</v>
      </c>
      <c r="BG80" s="60" t="s">
        <v>77</v>
      </c>
      <c r="BH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T80">
        <v>0</v>
      </c>
      <c r="BU80">
        <v>0</v>
      </c>
      <c r="BV80">
        <v>0</v>
      </c>
      <c r="BW80">
        <v>1</v>
      </c>
      <c r="BX80">
        <v>0</v>
      </c>
      <c r="BY80">
        <v>0</v>
      </c>
      <c r="CA80">
        <v>0</v>
      </c>
      <c r="CC80" s="41">
        <v>0</v>
      </c>
      <c r="CD80">
        <v>17</v>
      </c>
      <c r="CE80">
        <v>17</v>
      </c>
      <c r="CF80">
        <v>0</v>
      </c>
      <c r="CG80">
        <v>1</v>
      </c>
      <c r="CH80">
        <v>1</v>
      </c>
      <c r="CI80">
        <v>3</v>
      </c>
      <c r="CJ80">
        <v>0</v>
      </c>
      <c r="CK80">
        <v>20</v>
      </c>
      <c r="CL80">
        <v>1</v>
      </c>
      <c r="CM80" s="7">
        <v>69</v>
      </c>
    </row>
  </sheetData>
  <mergeCells count="8">
    <mergeCell ref="A2:A4"/>
    <mergeCell ref="C2:C4"/>
    <mergeCell ref="Y2:CB2"/>
    <mergeCell ref="CC2:CM2"/>
    <mergeCell ref="B2:B4"/>
    <mergeCell ref="E1:CM1"/>
    <mergeCell ref="S2:X2"/>
    <mergeCell ref="D2:R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J98"/>
  <sheetViews>
    <sheetView topLeftCell="A47" workbookViewId="0">
      <selection activeCell="C77" sqref="C77"/>
    </sheetView>
  </sheetViews>
  <sheetFormatPr baseColWidth="10" defaultColWidth="9.109375" defaultRowHeight="13.2" x14ac:dyDescent="0.25"/>
  <cols>
    <col min="1" max="1" width="18.5546875" bestFit="1" customWidth="1"/>
  </cols>
  <sheetData>
    <row r="1" spans="1:88" ht="35.4" customHeight="1" x14ac:dyDescent="0.6">
      <c r="E1" s="91" t="s">
        <v>428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  <c r="BY1" s="92"/>
      <c r="BZ1" s="92"/>
      <c r="CA1" s="92"/>
      <c r="CB1" s="92"/>
      <c r="CC1" s="92"/>
      <c r="CD1" s="92"/>
      <c r="CE1" s="92"/>
      <c r="CF1" s="92"/>
      <c r="CG1" s="92"/>
      <c r="CH1" s="92"/>
      <c r="CI1" s="92"/>
      <c r="CJ1" s="92"/>
    </row>
    <row r="2" spans="1:88" x14ac:dyDescent="0.25">
      <c r="A2" s="94" t="s">
        <v>69</v>
      </c>
      <c r="B2" s="94"/>
      <c r="C2" s="96" t="s">
        <v>70</v>
      </c>
      <c r="D2" s="93" t="s">
        <v>71</v>
      </c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3" t="s">
        <v>72</v>
      </c>
      <c r="U2" s="92"/>
      <c r="V2" s="92"/>
      <c r="W2" s="92"/>
      <c r="X2" s="92"/>
      <c r="Y2" s="99" t="s">
        <v>73</v>
      </c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92"/>
      <c r="BY2" s="92"/>
      <c r="BZ2" s="99" t="s">
        <v>74</v>
      </c>
      <c r="CA2" s="92"/>
      <c r="CB2" s="92"/>
      <c r="CC2" s="92"/>
      <c r="CD2" s="92"/>
      <c r="CE2" s="92"/>
      <c r="CF2" s="92"/>
      <c r="CG2" s="92"/>
      <c r="CH2" s="92"/>
      <c r="CI2" s="92"/>
      <c r="CJ2" s="92"/>
    </row>
    <row r="3" spans="1:88" x14ac:dyDescent="0.25">
      <c r="A3" s="92"/>
      <c r="B3" s="92"/>
      <c r="C3" s="97"/>
      <c r="D3" s="1" t="s">
        <v>77</v>
      </c>
      <c r="E3" s="1" t="s">
        <v>75</v>
      </c>
      <c r="F3" s="1" t="s">
        <v>75</v>
      </c>
      <c r="G3" s="1" t="s">
        <v>75</v>
      </c>
      <c r="H3" s="1" t="s">
        <v>75</v>
      </c>
      <c r="I3" s="1" t="s">
        <v>75</v>
      </c>
      <c r="J3" s="1" t="s">
        <v>75</v>
      </c>
      <c r="K3" s="1" t="s">
        <v>75</v>
      </c>
      <c r="L3" s="1" t="s">
        <v>75</v>
      </c>
      <c r="M3" s="1" t="s">
        <v>75</v>
      </c>
      <c r="N3" s="1"/>
      <c r="O3" s="1" t="s">
        <v>76</v>
      </c>
      <c r="P3" s="1" t="s">
        <v>76</v>
      </c>
      <c r="R3" s="1"/>
      <c r="S3" s="1"/>
      <c r="T3" s="1" t="s">
        <v>75</v>
      </c>
      <c r="U3" s="1"/>
      <c r="V3" s="1" t="s">
        <v>76</v>
      </c>
      <c r="W3" s="1"/>
      <c r="Y3" s="51" t="s">
        <v>75</v>
      </c>
      <c r="Z3" s="1" t="s">
        <v>75</v>
      </c>
      <c r="AA3" t="s">
        <v>75</v>
      </c>
      <c r="AB3" s="1" t="s">
        <v>75</v>
      </c>
      <c r="AC3" t="s">
        <v>75</v>
      </c>
      <c r="AD3" s="1" t="s">
        <v>75</v>
      </c>
      <c r="AE3" t="s">
        <v>75</v>
      </c>
      <c r="AF3" s="1" t="s">
        <v>75</v>
      </c>
      <c r="AG3" t="s">
        <v>75</v>
      </c>
      <c r="AH3" s="1" t="s">
        <v>75</v>
      </c>
      <c r="AI3" t="s">
        <v>75</v>
      </c>
      <c r="AJ3" s="1" t="s">
        <v>75</v>
      </c>
      <c r="AK3" t="s">
        <v>75</v>
      </c>
      <c r="AL3" s="1" t="s">
        <v>75</v>
      </c>
      <c r="AM3" t="s">
        <v>75</v>
      </c>
      <c r="AN3" s="1" t="s">
        <v>75</v>
      </c>
      <c r="AO3" t="s">
        <v>75</v>
      </c>
      <c r="AP3" s="1" t="s">
        <v>75</v>
      </c>
      <c r="AQ3" s="1" t="s">
        <v>75</v>
      </c>
      <c r="AR3" s="1" t="s">
        <v>75</v>
      </c>
      <c r="AS3" s="1" t="s">
        <v>75</v>
      </c>
      <c r="AT3" t="s">
        <v>75</v>
      </c>
      <c r="AU3" s="1" t="s">
        <v>75</v>
      </c>
      <c r="AV3" t="s">
        <v>75</v>
      </c>
      <c r="AW3" s="1" t="s">
        <v>75</v>
      </c>
      <c r="AX3" t="s">
        <v>75</v>
      </c>
      <c r="AY3" s="1" t="s">
        <v>75</v>
      </c>
      <c r="AZ3" t="s">
        <v>75</v>
      </c>
      <c r="BA3" s="1" t="s">
        <v>75</v>
      </c>
      <c r="BB3" t="s">
        <v>75</v>
      </c>
      <c r="BC3" s="1"/>
      <c r="BD3" s="1" t="s">
        <v>76</v>
      </c>
      <c r="BE3" s="1" t="s">
        <v>76</v>
      </c>
      <c r="BF3" s="1" t="s">
        <v>76</v>
      </c>
      <c r="BG3" s="1" t="s">
        <v>76</v>
      </c>
      <c r="BH3" s="1" t="s">
        <v>76</v>
      </c>
      <c r="BI3" s="1" t="s">
        <v>76</v>
      </c>
      <c r="BJ3" s="1" t="s">
        <v>76</v>
      </c>
      <c r="BK3" s="1" t="s">
        <v>76</v>
      </c>
      <c r="BL3" s="1" t="s">
        <v>76</v>
      </c>
      <c r="BM3" s="1" t="s">
        <v>76</v>
      </c>
      <c r="BN3" s="1" t="s">
        <v>76</v>
      </c>
      <c r="BO3" s="1" t="s">
        <v>76</v>
      </c>
      <c r="BP3" s="1" t="s">
        <v>76</v>
      </c>
      <c r="BQ3" s="1" t="s">
        <v>76</v>
      </c>
      <c r="BR3" s="1" t="s">
        <v>76</v>
      </c>
      <c r="BS3" s="1" t="s">
        <v>76</v>
      </c>
      <c r="BT3" s="1" t="s">
        <v>76</v>
      </c>
      <c r="BU3" s="1" t="s">
        <v>76</v>
      </c>
      <c r="BV3" s="1" t="s">
        <v>76</v>
      </c>
      <c r="BW3" s="1" t="s">
        <v>76</v>
      </c>
      <c r="BX3" s="1" t="s">
        <v>76</v>
      </c>
      <c r="BY3" s="1" t="s">
        <v>76</v>
      </c>
      <c r="BZ3" s="41" t="s">
        <v>77</v>
      </c>
      <c r="CA3" s="42"/>
      <c r="CB3" s="42"/>
      <c r="CC3" s="42"/>
      <c r="CD3" s="42"/>
      <c r="CE3" s="42"/>
      <c r="CF3" s="42"/>
      <c r="CG3" s="42"/>
    </row>
    <row r="4" spans="1:88" ht="215.4" customHeight="1" x14ac:dyDescent="0.25">
      <c r="A4" s="95"/>
      <c r="B4" s="95"/>
      <c r="C4" s="98"/>
      <c r="D4" s="61" t="s">
        <v>77</v>
      </c>
      <c r="E4" s="61" t="s">
        <v>429</v>
      </c>
      <c r="F4" s="61" t="s">
        <v>430</v>
      </c>
      <c r="G4" s="62" t="s">
        <v>431</v>
      </c>
      <c r="H4" s="61" t="s">
        <v>432</v>
      </c>
      <c r="I4" s="62" t="s">
        <v>433</v>
      </c>
      <c r="J4" s="61" t="s">
        <v>434</v>
      </c>
      <c r="K4" s="62" t="s">
        <v>435</v>
      </c>
      <c r="L4" s="62" t="s">
        <v>436</v>
      </c>
      <c r="M4" s="62" t="s">
        <v>437</v>
      </c>
      <c r="N4" s="61" t="s">
        <v>77</v>
      </c>
      <c r="O4" s="61" t="s">
        <v>438</v>
      </c>
      <c r="P4" s="61" t="s">
        <v>439</v>
      </c>
      <c r="Q4" s="63"/>
      <c r="R4" s="64" t="s">
        <v>77</v>
      </c>
      <c r="S4" s="63"/>
      <c r="T4" s="61" t="s">
        <v>440</v>
      </c>
      <c r="U4" s="65"/>
      <c r="V4" s="61" t="s">
        <v>441</v>
      </c>
      <c r="W4" s="64" t="s">
        <v>77</v>
      </c>
      <c r="X4" s="66" t="s">
        <v>77</v>
      </c>
      <c r="Y4" s="67" t="s">
        <v>442</v>
      </c>
      <c r="Z4" s="67" t="s">
        <v>443</v>
      </c>
      <c r="AA4" s="67" t="s">
        <v>444</v>
      </c>
      <c r="AB4" s="67" t="s">
        <v>445</v>
      </c>
      <c r="AC4" s="67" t="s">
        <v>446</v>
      </c>
      <c r="AD4" s="68" t="s">
        <v>447</v>
      </c>
      <c r="AE4" s="67" t="s">
        <v>448</v>
      </c>
      <c r="AF4" s="67" t="s">
        <v>449</v>
      </c>
      <c r="AG4" s="67" t="s">
        <v>450</v>
      </c>
      <c r="AH4" s="67" t="s">
        <v>451</v>
      </c>
      <c r="AI4" s="67" t="s">
        <v>452</v>
      </c>
      <c r="AJ4" s="67" t="s">
        <v>453</v>
      </c>
      <c r="AK4" s="67" t="s">
        <v>454</v>
      </c>
      <c r="AL4" s="67" t="s">
        <v>455</v>
      </c>
      <c r="AM4" s="67" t="s">
        <v>456</v>
      </c>
      <c r="AN4" s="67" t="s">
        <v>457</v>
      </c>
      <c r="AO4" s="67" t="s">
        <v>458</v>
      </c>
      <c r="AP4" s="67" t="s">
        <v>459</v>
      </c>
      <c r="AQ4" s="67" t="s">
        <v>460</v>
      </c>
      <c r="AR4" s="67" t="s">
        <v>461</v>
      </c>
      <c r="AS4" s="67" t="s">
        <v>462</v>
      </c>
      <c r="AT4" s="67" t="s">
        <v>463</v>
      </c>
      <c r="AU4" s="67" t="s">
        <v>464</v>
      </c>
      <c r="AV4" s="67" t="s">
        <v>465</v>
      </c>
      <c r="AW4" s="68" t="s">
        <v>466</v>
      </c>
      <c r="AX4" s="67" t="s">
        <v>467</v>
      </c>
      <c r="AY4" s="67" t="s">
        <v>468</v>
      </c>
      <c r="AZ4" s="67" t="s">
        <v>469</v>
      </c>
      <c r="BA4" s="67" t="s">
        <v>470</v>
      </c>
      <c r="BB4" s="67" t="s">
        <v>471</v>
      </c>
      <c r="BC4" s="69" t="s">
        <v>77</v>
      </c>
      <c r="BD4" s="67" t="s">
        <v>472</v>
      </c>
      <c r="BE4" s="67" t="s">
        <v>473</v>
      </c>
      <c r="BF4" s="67" t="s">
        <v>474</v>
      </c>
      <c r="BG4" s="67" t="s">
        <v>475</v>
      </c>
      <c r="BH4" s="67" t="s">
        <v>476</v>
      </c>
      <c r="BI4" s="67" t="s">
        <v>477</v>
      </c>
      <c r="BJ4" s="67" t="s">
        <v>478</v>
      </c>
      <c r="BK4" s="67" t="s">
        <v>479</v>
      </c>
      <c r="BL4" s="67" t="s">
        <v>480</v>
      </c>
      <c r="BM4" s="67" t="s">
        <v>481</v>
      </c>
      <c r="BN4" s="67" t="s">
        <v>482</v>
      </c>
      <c r="BO4" s="67" t="s">
        <v>483</v>
      </c>
      <c r="BP4" s="67" t="s">
        <v>484</v>
      </c>
      <c r="BQ4" s="67" t="s">
        <v>485</v>
      </c>
      <c r="BR4" s="67" t="s">
        <v>486</v>
      </c>
      <c r="BS4" s="67" t="s">
        <v>487</v>
      </c>
      <c r="BT4" s="67" t="s">
        <v>488</v>
      </c>
      <c r="BU4" s="67" t="s">
        <v>489</v>
      </c>
      <c r="BV4" s="67" t="s">
        <v>490</v>
      </c>
      <c r="BW4" s="67" t="s">
        <v>491</v>
      </c>
      <c r="BX4" s="67" t="s">
        <v>492</v>
      </c>
      <c r="BY4" s="67" t="s">
        <v>493</v>
      </c>
      <c r="BZ4" s="46" t="s">
        <v>137</v>
      </c>
      <c r="CA4" s="43" t="s">
        <v>138</v>
      </c>
      <c r="CB4" s="43" t="s">
        <v>139</v>
      </c>
      <c r="CC4" s="43" t="s">
        <v>140</v>
      </c>
      <c r="CD4" s="43" t="s">
        <v>141</v>
      </c>
      <c r="CE4" s="43" t="s">
        <v>142</v>
      </c>
      <c r="CF4" s="43" t="s">
        <v>143</v>
      </c>
      <c r="CG4" s="43" t="s">
        <v>144</v>
      </c>
      <c r="CH4" s="43" t="s">
        <v>145</v>
      </c>
      <c r="CI4" s="43" t="s">
        <v>146</v>
      </c>
      <c r="CJ4" s="6" t="s">
        <v>147</v>
      </c>
    </row>
    <row r="5" spans="1:88" x14ac:dyDescent="0.25">
      <c r="A5" t="s">
        <v>148</v>
      </c>
      <c r="B5" t="s">
        <v>149</v>
      </c>
      <c r="C5">
        <v>131</v>
      </c>
      <c r="Y5" s="41" t="s">
        <v>77</v>
      </c>
      <c r="BC5" s="60" t="s">
        <v>77</v>
      </c>
      <c r="BZ5" s="41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131</v>
      </c>
      <c r="CH5">
        <v>0</v>
      </c>
      <c r="CI5">
        <v>131</v>
      </c>
      <c r="CJ5" s="7">
        <v>131</v>
      </c>
    </row>
    <row r="6" spans="1:88" x14ac:dyDescent="0.25">
      <c r="A6" t="s">
        <v>265</v>
      </c>
      <c r="B6" t="s">
        <v>151</v>
      </c>
      <c r="C6">
        <v>32</v>
      </c>
      <c r="Y6" s="41" t="s">
        <v>77</v>
      </c>
      <c r="BC6" s="60" t="s">
        <v>77</v>
      </c>
      <c r="BP6">
        <v>0</v>
      </c>
      <c r="BZ6" s="41">
        <v>0</v>
      </c>
      <c r="CA6">
        <v>1</v>
      </c>
      <c r="CB6">
        <v>1</v>
      </c>
      <c r="CC6">
        <v>0</v>
      </c>
      <c r="CD6">
        <v>0</v>
      </c>
      <c r="CE6">
        <v>0</v>
      </c>
      <c r="CF6">
        <v>0</v>
      </c>
      <c r="CG6">
        <v>32</v>
      </c>
      <c r="CH6">
        <v>1</v>
      </c>
      <c r="CI6">
        <v>32</v>
      </c>
      <c r="CJ6" s="7">
        <v>33</v>
      </c>
    </row>
    <row r="7" spans="1:88" x14ac:dyDescent="0.25">
      <c r="A7" t="s">
        <v>266</v>
      </c>
      <c r="B7" t="s">
        <v>151</v>
      </c>
      <c r="C7">
        <v>382</v>
      </c>
      <c r="Y7" s="41" t="s">
        <v>77</v>
      </c>
      <c r="BC7" s="60" t="s">
        <v>77</v>
      </c>
      <c r="BZ7" s="41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382</v>
      </c>
      <c r="CH7">
        <v>0</v>
      </c>
      <c r="CI7">
        <v>382</v>
      </c>
      <c r="CJ7" s="7">
        <v>382</v>
      </c>
    </row>
    <row r="8" spans="1:88" x14ac:dyDescent="0.25">
      <c r="A8" t="s">
        <v>423</v>
      </c>
      <c r="C8">
        <v>6</v>
      </c>
      <c r="Y8" s="41" t="s">
        <v>77</v>
      </c>
      <c r="BC8" s="60" t="s">
        <v>77</v>
      </c>
      <c r="BZ8" s="41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6</v>
      </c>
      <c r="CH8">
        <v>0</v>
      </c>
      <c r="CI8">
        <v>6</v>
      </c>
      <c r="CJ8" s="7">
        <v>6</v>
      </c>
    </row>
    <row r="9" spans="1:88" x14ac:dyDescent="0.25">
      <c r="A9" t="s">
        <v>152</v>
      </c>
      <c r="B9" t="s">
        <v>149</v>
      </c>
      <c r="C9">
        <v>269</v>
      </c>
      <c r="V9">
        <v>0</v>
      </c>
      <c r="Y9" s="41" t="s">
        <v>77</v>
      </c>
      <c r="BC9" s="60" t="s">
        <v>77</v>
      </c>
      <c r="BK9">
        <v>0</v>
      </c>
      <c r="BL9">
        <v>0</v>
      </c>
      <c r="BY9">
        <v>0</v>
      </c>
      <c r="BZ9" s="41">
        <v>0</v>
      </c>
      <c r="CA9">
        <v>3</v>
      </c>
      <c r="CB9">
        <v>3</v>
      </c>
      <c r="CC9">
        <v>0</v>
      </c>
      <c r="CD9">
        <v>0</v>
      </c>
      <c r="CE9">
        <v>0</v>
      </c>
      <c r="CF9">
        <v>1</v>
      </c>
      <c r="CG9">
        <v>269</v>
      </c>
      <c r="CH9">
        <v>4</v>
      </c>
      <c r="CI9">
        <v>269</v>
      </c>
      <c r="CJ9" s="7">
        <v>273</v>
      </c>
    </row>
    <row r="10" spans="1:88" x14ac:dyDescent="0.25">
      <c r="A10" t="s">
        <v>153</v>
      </c>
      <c r="B10" t="s">
        <v>149</v>
      </c>
      <c r="C10">
        <v>273</v>
      </c>
      <c r="Y10" s="41" t="s">
        <v>77</v>
      </c>
      <c r="BC10" s="60" t="s">
        <v>77</v>
      </c>
      <c r="BZ10" s="41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273</v>
      </c>
      <c r="CH10">
        <v>0</v>
      </c>
      <c r="CI10">
        <v>273</v>
      </c>
      <c r="CJ10" s="7">
        <v>273</v>
      </c>
    </row>
    <row r="11" spans="1:88" x14ac:dyDescent="0.25">
      <c r="A11" s="1" t="s">
        <v>494</v>
      </c>
      <c r="C11">
        <v>13</v>
      </c>
      <c r="Y11" s="41" t="s">
        <v>77</v>
      </c>
      <c r="BC11" s="60" t="s">
        <v>77</v>
      </c>
      <c r="BN11">
        <v>0</v>
      </c>
      <c r="BP11">
        <v>0</v>
      </c>
      <c r="BQ11">
        <v>0</v>
      </c>
      <c r="BR11">
        <v>0</v>
      </c>
      <c r="BU11">
        <v>0</v>
      </c>
      <c r="BV11">
        <v>1</v>
      </c>
      <c r="BW11">
        <v>0</v>
      </c>
      <c r="BX11">
        <v>0</v>
      </c>
      <c r="BZ11" s="41">
        <v>0</v>
      </c>
      <c r="CA11">
        <v>8</v>
      </c>
      <c r="CB11">
        <v>8</v>
      </c>
      <c r="CC11">
        <v>0</v>
      </c>
      <c r="CD11">
        <v>1</v>
      </c>
      <c r="CE11">
        <v>1</v>
      </c>
      <c r="CF11">
        <v>0</v>
      </c>
      <c r="CG11">
        <v>13</v>
      </c>
      <c r="CH11">
        <v>8</v>
      </c>
      <c r="CI11">
        <v>14</v>
      </c>
      <c r="CJ11" s="7">
        <v>21</v>
      </c>
    </row>
    <row r="12" spans="1:88" x14ac:dyDescent="0.25">
      <c r="A12" s="1" t="s">
        <v>17</v>
      </c>
      <c r="C12">
        <v>0</v>
      </c>
      <c r="Y12" s="41" t="s">
        <v>77</v>
      </c>
      <c r="BC12" s="60" t="s">
        <v>77</v>
      </c>
      <c r="BQ12">
        <v>0</v>
      </c>
      <c r="BZ12" s="41">
        <v>0</v>
      </c>
      <c r="CA12">
        <v>1</v>
      </c>
      <c r="CB12">
        <v>1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1</v>
      </c>
      <c r="CI12">
        <v>0</v>
      </c>
      <c r="CJ12" s="7">
        <v>1</v>
      </c>
    </row>
    <row r="13" spans="1:88" x14ac:dyDescent="0.25">
      <c r="A13" t="s">
        <v>154</v>
      </c>
      <c r="B13" t="s">
        <v>149</v>
      </c>
      <c r="C13">
        <v>137</v>
      </c>
      <c r="Y13" s="41" t="s">
        <v>77</v>
      </c>
      <c r="BC13" s="60" t="s">
        <v>77</v>
      </c>
      <c r="BZ13" s="41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137</v>
      </c>
      <c r="CH13">
        <v>0</v>
      </c>
      <c r="CI13">
        <v>137</v>
      </c>
      <c r="CJ13" s="7">
        <v>137</v>
      </c>
    </row>
    <row r="14" spans="1:88" x14ac:dyDescent="0.25">
      <c r="A14" t="s">
        <v>20</v>
      </c>
      <c r="B14" t="s">
        <v>151</v>
      </c>
      <c r="C14">
        <v>65</v>
      </c>
      <c r="Y14" s="41" t="s">
        <v>77</v>
      </c>
      <c r="BC14" s="60" t="s">
        <v>77</v>
      </c>
      <c r="BI14">
        <v>0</v>
      </c>
      <c r="BJ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V14">
        <v>0</v>
      </c>
      <c r="BW14">
        <v>0</v>
      </c>
      <c r="BX14">
        <v>0</v>
      </c>
      <c r="BY14">
        <v>0</v>
      </c>
      <c r="BZ14" s="41">
        <v>0</v>
      </c>
      <c r="CA14">
        <v>14</v>
      </c>
      <c r="CB14">
        <v>14</v>
      </c>
      <c r="CC14">
        <v>0</v>
      </c>
      <c r="CD14">
        <v>0</v>
      </c>
      <c r="CE14">
        <v>0</v>
      </c>
      <c r="CF14">
        <v>0</v>
      </c>
      <c r="CG14">
        <v>65</v>
      </c>
      <c r="CH14">
        <v>14</v>
      </c>
      <c r="CI14">
        <v>65</v>
      </c>
      <c r="CJ14" s="7">
        <v>79</v>
      </c>
    </row>
    <row r="15" spans="1:88" x14ac:dyDescent="0.25">
      <c r="A15" t="s">
        <v>155</v>
      </c>
      <c r="B15" t="s">
        <v>149</v>
      </c>
      <c r="C15">
        <v>158</v>
      </c>
      <c r="F15">
        <v>0</v>
      </c>
      <c r="H15">
        <v>0</v>
      </c>
      <c r="J15">
        <v>0</v>
      </c>
      <c r="O15">
        <v>0</v>
      </c>
      <c r="Y15" s="41">
        <v>0</v>
      </c>
      <c r="Z15">
        <v>0</v>
      </c>
      <c r="AA15">
        <v>0</v>
      </c>
      <c r="AC15">
        <v>0</v>
      </c>
      <c r="AD15">
        <v>0</v>
      </c>
      <c r="AE15">
        <v>0</v>
      </c>
      <c r="AF15">
        <v>0</v>
      </c>
      <c r="AH15">
        <v>0</v>
      </c>
      <c r="AI15">
        <v>0</v>
      </c>
      <c r="AK15">
        <v>0</v>
      </c>
      <c r="AL15">
        <v>0</v>
      </c>
      <c r="AN15">
        <v>0</v>
      </c>
      <c r="AO15">
        <v>0</v>
      </c>
      <c r="AP15">
        <v>0</v>
      </c>
      <c r="AR15">
        <v>0</v>
      </c>
      <c r="AS15">
        <v>0</v>
      </c>
      <c r="AT15">
        <v>0</v>
      </c>
      <c r="AU15">
        <v>0</v>
      </c>
      <c r="AZ15">
        <v>0</v>
      </c>
      <c r="BC15" s="60" t="s">
        <v>77</v>
      </c>
      <c r="BT15">
        <v>0</v>
      </c>
      <c r="BZ15" s="41">
        <v>19</v>
      </c>
      <c r="CA15">
        <v>1</v>
      </c>
      <c r="CB15">
        <v>20</v>
      </c>
      <c r="CC15">
        <v>0</v>
      </c>
      <c r="CD15">
        <v>0</v>
      </c>
      <c r="CE15">
        <v>0</v>
      </c>
      <c r="CF15">
        <v>4</v>
      </c>
      <c r="CG15">
        <v>158</v>
      </c>
      <c r="CH15">
        <v>24</v>
      </c>
      <c r="CI15">
        <v>158</v>
      </c>
      <c r="CJ15" s="7">
        <v>182</v>
      </c>
    </row>
    <row r="16" spans="1:88" x14ac:dyDescent="0.25">
      <c r="A16" t="s">
        <v>156</v>
      </c>
      <c r="B16" t="s">
        <v>149</v>
      </c>
      <c r="C16">
        <v>462</v>
      </c>
      <c r="E16">
        <v>0</v>
      </c>
      <c r="J16">
        <v>0</v>
      </c>
      <c r="O16">
        <v>0</v>
      </c>
      <c r="P16">
        <v>0</v>
      </c>
      <c r="R16" s="1"/>
      <c r="Y16" s="41">
        <v>0</v>
      </c>
      <c r="AX16">
        <v>0</v>
      </c>
      <c r="BC16" s="60" t="s">
        <v>77</v>
      </c>
      <c r="BD16">
        <v>0</v>
      </c>
      <c r="BE16">
        <v>0</v>
      </c>
      <c r="BG16">
        <v>0</v>
      </c>
      <c r="BI16">
        <v>0</v>
      </c>
      <c r="BJ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X16">
        <v>0</v>
      </c>
      <c r="BY16">
        <v>0</v>
      </c>
      <c r="BZ16" s="41">
        <v>2</v>
      </c>
      <c r="CA16">
        <v>17</v>
      </c>
      <c r="CB16">
        <v>19</v>
      </c>
      <c r="CC16">
        <v>0</v>
      </c>
      <c r="CD16">
        <v>0</v>
      </c>
      <c r="CE16">
        <v>0</v>
      </c>
      <c r="CF16">
        <v>4</v>
      </c>
      <c r="CG16">
        <v>462</v>
      </c>
      <c r="CH16">
        <v>23</v>
      </c>
      <c r="CI16">
        <v>462</v>
      </c>
      <c r="CJ16" s="7">
        <v>485</v>
      </c>
    </row>
    <row r="17" spans="1:88" x14ac:dyDescent="0.25">
      <c r="A17" t="s">
        <v>495</v>
      </c>
      <c r="C17">
        <v>1</v>
      </c>
      <c r="R17" s="1"/>
      <c r="Y17" s="41" t="s">
        <v>77</v>
      </c>
      <c r="BC17" s="60" t="s">
        <v>77</v>
      </c>
      <c r="BF17">
        <v>0</v>
      </c>
      <c r="BZ17" s="41">
        <v>0</v>
      </c>
      <c r="CA17">
        <v>1</v>
      </c>
      <c r="CB17">
        <v>1</v>
      </c>
      <c r="CC17">
        <v>0</v>
      </c>
      <c r="CD17">
        <v>0</v>
      </c>
      <c r="CE17">
        <v>0</v>
      </c>
      <c r="CF17">
        <v>0</v>
      </c>
      <c r="CG17">
        <v>1</v>
      </c>
      <c r="CH17">
        <v>1</v>
      </c>
      <c r="CI17">
        <v>1</v>
      </c>
      <c r="CJ17" s="7">
        <v>2</v>
      </c>
    </row>
    <row r="18" spans="1:88" x14ac:dyDescent="0.25">
      <c r="A18" t="s">
        <v>157</v>
      </c>
      <c r="B18" t="s">
        <v>151</v>
      </c>
      <c r="C18">
        <v>25</v>
      </c>
      <c r="Y18" s="41" t="s">
        <v>77</v>
      </c>
      <c r="BC18" s="60" t="s">
        <v>77</v>
      </c>
      <c r="BZ18" s="41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25</v>
      </c>
      <c r="CH18">
        <v>0</v>
      </c>
      <c r="CI18">
        <v>25</v>
      </c>
      <c r="CJ18" s="7">
        <v>25</v>
      </c>
    </row>
    <row r="19" spans="1:88" x14ac:dyDescent="0.25">
      <c r="A19" t="s">
        <v>267</v>
      </c>
      <c r="B19" t="s">
        <v>149</v>
      </c>
      <c r="C19">
        <v>51</v>
      </c>
      <c r="P19">
        <v>0</v>
      </c>
      <c r="V19">
        <v>0</v>
      </c>
      <c r="Y19" s="41" t="s">
        <v>77</v>
      </c>
      <c r="BC19" s="60" t="s">
        <v>77</v>
      </c>
      <c r="BF19">
        <v>0</v>
      </c>
      <c r="BG19">
        <v>0</v>
      </c>
      <c r="BL19">
        <v>0</v>
      </c>
      <c r="BN19">
        <v>0</v>
      </c>
      <c r="BZ19" s="41">
        <v>0</v>
      </c>
      <c r="CA19">
        <v>4</v>
      </c>
      <c r="CB19">
        <v>4</v>
      </c>
      <c r="CC19">
        <v>0</v>
      </c>
      <c r="CD19">
        <v>0</v>
      </c>
      <c r="CE19">
        <v>0</v>
      </c>
      <c r="CF19">
        <v>2</v>
      </c>
      <c r="CG19">
        <v>51</v>
      </c>
      <c r="CH19">
        <v>6</v>
      </c>
      <c r="CI19">
        <v>51</v>
      </c>
      <c r="CJ19" s="7">
        <v>57</v>
      </c>
    </row>
    <row r="20" spans="1:88" x14ac:dyDescent="0.25">
      <c r="A20" t="s">
        <v>158</v>
      </c>
      <c r="B20" t="s">
        <v>151</v>
      </c>
      <c r="C20">
        <v>228</v>
      </c>
      <c r="Y20" s="41" t="s">
        <v>77</v>
      </c>
      <c r="BC20" s="60" t="s">
        <v>77</v>
      </c>
      <c r="BZ20" s="41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228</v>
      </c>
      <c r="CH20">
        <v>0</v>
      </c>
      <c r="CI20">
        <v>228</v>
      </c>
      <c r="CJ20" s="7">
        <v>228</v>
      </c>
    </row>
    <row r="21" spans="1:88" x14ac:dyDescent="0.25">
      <c r="A21" t="s">
        <v>268</v>
      </c>
      <c r="B21" t="s">
        <v>151</v>
      </c>
      <c r="C21">
        <v>69</v>
      </c>
      <c r="R21" s="1"/>
      <c r="Y21" s="41" t="s">
        <v>77</v>
      </c>
      <c r="BC21" s="60" t="s">
        <v>77</v>
      </c>
      <c r="BZ21" s="4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69</v>
      </c>
      <c r="CH21">
        <v>0</v>
      </c>
      <c r="CI21">
        <v>69</v>
      </c>
      <c r="CJ21" s="7">
        <v>69</v>
      </c>
    </row>
    <row r="22" spans="1:88" x14ac:dyDescent="0.25">
      <c r="A22" t="s">
        <v>159</v>
      </c>
      <c r="B22" t="s">
        <v>151</v>
      </c>
      <c r="C22">
        <v>152</v>
      </c>
      <c r="F22">
        <v>0</v>
      </c>
      <c r="N22" s="1"/>
      <c r="O22" s="1"/>
      <c r="P22" s="1"/>
      <c r="Y22" s="41" t="s">
        <v>77</v>
      </c>
      <c r="BC22" s="60" t="s">
        <v>77</v>
      </c>
      <c r="BZ22" s="41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1</v>
      </c>
      <c r="CG22">
        <v>152</v>
      </c>
      <c r="CH22">
        <v>1</v>
      </c>
      <c r="CI22">
        <v>152</v>
      </c>
      <c r="CJ22" s="7">
        <v>153</v>
      </c>
    </row>
    <row r="23" spans="1:88" x14ac:dyDescent="0.25">
      <c r="A23" t="s">
        <v>160</v>
      </c>
      <c r="B23" t="s">
        <v>151</v>
      </c>
      <c r="C23">
        <v>387</v>
      </c>
      <c r="Y23" s="41" t="s">
        <v>77</v>
      </c>
      <c r="BC23" s="60" t="s">
        <v>77</v>
      </c>
      <c r="BZ23" s="41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387</v>
      </c>
      <c r="CH23">
        <v>0</v>
      </c>
      <c r="CI23">
        <v>387</v>
      </c>
      <c r="CJ23" s="7">
        <v>387</v>
      </c>
    </row>
    <row r="24" spans="1:88" x14ac:dyDescent="0.25">
      <c r="A24" t="s">
        <v>161</v>
      </c>
      <c r="B24" t="s">
        <v>151</v>
      </c>
      <c r="C24">
        <v>269</v>
      </c>
      <c r="O24">
        <v>0</v>
      </c>
      <c r="R24" s="1"/>
      <c r="T24">
        <v>0</v>
      </c>
      <c r="Y24" s="41">
        <v>0</v>
      </c>
      <c r="Z24">
        <v>0</v>
      </c>
      <c r="AA24">
        <v>0</v>
      </c>
      <c r="AC24">
        <v>0</v>
      </c>
      <c r="AD24">
        <v>0</v>
      </c>
      <c r="AE24">
        <v>0</v>
      </c>
      <c r="AF24">
        <v>0</v>
      </c>
      <c r="AM24">
        <v>0</v>
      </c>
      <c r="AN24">
        <v>0</v>
      </c>
      <c r="AO24">
        <v>0</v>
      </c>
      <c r="AP24">
        <v>0</v>
      </c>
      <c r="AR24">
        <v>0</v>
      </c>
      <c r="AT24">
        <v>0</v>
      </c>
      <c r="AU24">
        <v>0</v>
      </c>
      <c r="AV24">
        <v>0</v>
      </c>
      <c r="AW24">
        <v>0</v>
      </c>
      <c r="AY24">
        <v>0</v>
      </c>
      <c r="AZ24">
        <v>0</v>
      </c>
      <c r="BA24">
        <v>0</v>
      </c>
      <c r="BB24">
        <v>0</v>
      </c>
      <c r="BC24" s="60" t="s">
        <v>77</v>
      </c>
      <c r="BM24">
        <v>0</v>
      </c>
      <c r="BT24">
        <v>0</v>
      </c>
      <c r="BU24">
        <v>0</v>
      </c>
      <c r="BZ24" s="41">
        <v>20</v>
      </c>
      <c r="CA24">
        <v>3</v>
      </c>
      <c r="CB24">
        <v>23</v>
      </c>
      <c r="CC24">
        <v>0</v>
      </c>
      <c r="CD24">
        <v>0</v>
      </c>
      <c r="CE24">
        <v>0</v>
      </c>
      <c r="CF24">
        <v>2</v>
      </c>
      <c r="CG24">
        <v>269</v>
      </c>
      <c r="CH24">
        <v>25</v>
      </c>
      <c r="CI24">
        <v>269</v>
      </c>
      <c r="CJ24" s="7">
        <v>294</v>
      </c>
    </row>
    <row r="25" spans="1:88" x14ac:dyDescent="0.25">
      <c r="A25" t="s">
        <v>162</v>
      </c>
      <c r="B25" t="s">
        <v>151</v>
      </c>
      <c r="C25">
        <v>167</v>
      </c>
      <c r="Y25" s="41" t="s">
        <v>77</v>
      </c>
      <c r="BC25" s="60" t="s">
        <v>77</v>
      </c>
      <c r="BZ25" s="41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167</v>
      </c>
      <c r="CH25">
        <v>0</v>
      </c>
      <c r="CI25">
        <v>167</v>
      </c>
      <c r="CJ25" s="7">
        <v>167</v>
      </c>
    </row>
    <row r="26" spans="1:88" x14ac:dyDescent="0.25">
      <c r="A26" t="s">
        <v>269</v>
      </c>
      <c r="B26" t="s">
        <v>149</v>
      </c>
      <c r="C26">
        <v>8</v>
      </c>
      <c r="Y26" s="41" t="s">
        <v>77</v>
      </c>
      <c r="BC26" s="60" t="s">
        <v>77</v>
      </c>
      <c r="BZ26" s="41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8</v>
      </c>
      <c r="CH26">
        <v>0</v>
      </c>
      <c r="CI26">
        <v>8</v>
      </c>
      <c r="CJ26" s="7">
        <v>8</v>
      </c>
    </row>
    <row r="27" spans="1:88" x14ac:dyDescent="0.25">
      <c r="A27" t="s">
        <v>270</v>
      </c>
      <c r="B27" t="s">
        <v>149</v>
      </c>
      <c r="C27">
        <v>32</v>
      </c>
      <c r="Y27" s="41" t="s">
        <v>77</v>
      </c>
      <c r="BC27" s="60" t="s">
        <v>77</v>
      </c>
      <c r="BZ27" s="41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32</v>
      </c>
      <c r="CH27">
        <v>0</v>
      </c>
      <c r="CI27">
        <v>32</v>
      </c>
      <c r="CJ27" s="7">
        <v>32</v>
      </c>
    </row>
    <row r="28" spans="1:88" x14ac:dyDescent="0.25">
      <c r="A28" t="s">
        <v>496</v>
      </c>
      <c r="C28">
        <v>6</v>
      </c>
      <c r="E28">
        <v>0</v>
      </c>
      <c r="H28">
        <v>0</v>
      </c>
      <c r="J28">
        <v>0</v>
      </c>
      <c r="T28">
        <v>0</v>
      </c>
      <c r="Y28" s="41">
        <v>0</v>
      </c>
      <c r="AG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Z28">
        <v>0</v>
      </c>
      <c r="BA28">
        <v>0</v>
      </c>
      <c r="BC28" s="60" t="s">
        <v>77</v>
      </c>
      <c r="BD28">
        <v>0</v>
      </c>
      <c r="BE28">
        <v>0</v>
      </c>
      <c r="BF28">
        <v>0</v>
      </c>
      <c r="BH28">
        <v>0</v>
      </c>
      <c r="BJ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2</v>
      </c>
      <c r="BR28">
        <v>1</v>
      </c>
      <c r="BS28">
        <v>0</v>
      </c>
      <c r="BT28">
        <v>0</v>
      </c>
      <c r="BU28">
        <v>1</v>
      </c>
      <c r="BV28">
        <v>0</v>
      </c>
      <c r="BW28">
        <v>1</v>
      </c>
      <c r="BY28">
        <v>0</v>
      </c>
      <c r="BZ28" s="41">
        <v>9</v>
      </c>
      <c r="CA28">
        <v>18</v>
      </c>
      <c r="CB28">
        <v>27</v>
      </c>
      <c r="CC28">
        <v>0</v>
      </c>
      <c r="CD28">
        <v>5</v>
      </c>
      <c r="CE28">
        <v>5</v>
      </c>
      <c r="CF28">
        <v>4</v>
      </c>
      <c r="CG28">
        <v>6</v>
      </c>
      <c r="CH28">
        <v>31</v>
      </c>
      <c r="CI28">
        <v>11</v>
      </c>
      <c r="CJ28" s="7">
        <v>37</v>
      </c>
    </row>
    <row r="29" spans="1:88" x14ac:dyDescent="0.25">
      <c r="A29" t="s">
        <v>497</v>
      </c>
      <c r="C29">
        <v>0</v>
      </c>
      <c r="Y29" s="41" t="s">
        <v>77</v>
      </c>
      <c r="AC29">
        <v>1</v>
      </c>
      <c r="AE29">
        <v>0</v>
      </c>
      <c r="AF29">
        <v>1</v>
      </c>
      <c r="AO29">
        <v>0</v>
      </c>
      <c r="AS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B29">
        <v>0</v>
      </c>
      <c r="BC29" s="60" t="s">
        <v>77</v>
      </c>
      <c r="BZ29" s="41">
        <v>12</v>
      </c>
      <c r="CA29">
        <v>0</v>
      </c>
      <c r="CB29">
        <v>12</v>
      </c>
      <c r="CC29">
        <v>2</v>
      </c>
      <c r="CD29">
        <v>0</v>
      </c>
      <c r="CE29">
        <v>2</v>
      </c>
      <c r="CF29">
        <v>0</v>
      </c>
      <c r="CG29">
        <v>0</v>
      </c>
      <c r="CH29">
        <v>12</v>
      </c>
      <c r="CI29">
        <v>2</v>
      </c>
      <c r="CJ29" s="7">
        <v>12</v>
      </c>
    </row>
    <row r="30" spans="1:88" x14ac:dyDescent="0.25">
      <c r="A30" t="s">
        <v>163</v>
      </c>
      <c r="B30" t="s">
        <v>151</v>
      </c>
      <c r="C30">
        <v>401</v>
      </c>
      <c r="Y30" s="41" t="s">
        <v>77</v>
      </c>
      <c r="BC30" s="60" t="s">
        <v>77</v>
      </c>
      <c r="BZ30" s="41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401</v>
      </c>
      <c r="CH30">
        <v>0</v>
      </c>
      <c r="CI30">
        <v>401</v>
      </c>
      <c r="CJ30" s="7">
        <v>401</v>
      </c>
    </row>
    <row r="31" spans="1:88" x14ac:dyDescent="0.25">
      <c r="A31" t="s">
        <v>424</v>
      </c>
      <c r="C31">
        <v>9</v>
      </c>
      <c r="E31">
        <v>0</v>
      </c>
      <c r="F31">
        <v>1</v>
      </c>
      <c r="O31">
        <v>0</v>
      </c>
      <c r="T31">
        <v>0</v>
      </c>
      <c r="Y31" s="41" t="s">
        <v>77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1</v>
      </c>
      <c r="AL31">
        <v>1</v>
      </c>
      <c r="AX31">
        <v>0</v>
      </c>
      <c r="AY31">
        <v>0</v>
      </c>
      <c r="BA31">
        <v>0</v>
      </c>
      <c r="BB31">
        <v>0</v>
      </c>
      <c r="BC31" s="60" t="s">
        <v>77</v>
      </c>
      <c r="BD31">
        <v>1</v>
      </c>
      <c r="BE31">
        <v>0</v>
      </c>
      <c r="BI31">
        <v>2</v>
      </c>
      <c r="BM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Z31" s="41">
        <v>14</v>
      </c>
      <c r="CA31">
        <v>9</v>
      </c>
      <c r="CB31">
        <v>23</v>
      </c>
      <c r="CC31">
        <v>2</v>
      </c>
      <c r="CD31">
        <v>3</v>
      </c>
      <c r="CE31">
        <v>5</v>
      </c>
      <c r="CF31">
        <v>4</v>
      </c>
      <c r="CG31">
        <v>10</v>
      </c>
      <c r="CH31">
        <v>27</v>
      </c>
      <c r="CI31">
        <v>15</v>
      </c>
      <c r="CJ31" s="7">
        <v>36</v>
      </c>
    </row>
    <row r="32" spans="1:88" x14ac:dyDescent="0.25">
      <c r="A32" t="s">
        <v>164</v>
      </c>
      <c r="B32" t="s">
        <v>151</v>
      </c>
      <c r="C32">
        <v>41</v>
      </c>
      <c r="Y32" s="41" t="s">
        <v>77</v>
      </c>
      <c r="BC32" s="60" t="s">
        <v>77</v>
      </c>
      <c r="BZ32" s="41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41</v>
      </c>
      <c r="CH32">
        <v>0</v>
      </c>
      <c r="CI32">
        <v>41</v>
      </c>
      <c r="CJ32" s="7">
        <v>41</v>
      </c>
    </row>
    <row r="33" spans="1:88" x14ac:dyDescent="0.25">
      <c r="A33" t="s">
        <v>165</v>
      </c>
      <c r="B33" t="s">
        <v>149</v>
      </c>
      <c r="C33">
        <v>227</v>
      </c>
      <c r="E33">
        <v>0</v>
      </c>
      <c r="F33">
        <v>0</v>
      </c>
      <c r="O33">
        <v>1</v>
      </c>
      <c r="R33" s="1"/>
      <c r="T33">
        <v>0</v>
      </c>
      <c r="Y33" s="41">
        <v>0</v>
      </c>
      <c r="Z33">
        <v>0</v>
      </c>
      <c r="AA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0</v>
      </c>
      <c r="AL33">
        <v>0</v>
      </c>
      <c r="BC33" s="60" t="s">
        <v>77</v>
      </c>
      <c r="BO33">
        <v>0</v>
      </c>
      <c r="BS33">
        <v>0</v>
      </c>
      <c r="BZ33" s="41">
        <v>13</v>
      </c>
      <c r="CA33">
        <v>2</v>
      </c>
      <c r="CB33">
        <v>15</v>
      </c>
      <c r="CC33">
        <v>1</v>
      </c>
      <c r="CD33">
        <v>0</v>
      </c>
      <c r="CE33">
        <v>1</v>
      </c>
      <c r="CF33">
        <v>4</v>
      </c>
      <c r="CG33">
        <v>228</v>
      </c>
      <c r="CH33">
        <v>19</v>
      </c>
      <c r="CI33">
        <v>229</v>
      </c>
      <c r="CJ33" s="7">
        <v>246</v>
      </c>
    </row>
    <row r="34" spans="1:88" x14ac:dyDescent="0.25">
      <c r="A34" t="s">
        <v>166</v>
      </c>
      <c r="B34" t="s">
        <v>151</v>
      </c>
      <c r="C34">
        <v>19</v>
      </c>
      <c r="Y34" s="41" t="s">
        <v>77</v>
      </c>
      <c r="BC34" s="60" t="s">
        <v>77</v>
      </c>
      <c r="BZ34" s="41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19</v>
      </c>
      <c r="CH34">
        <v>0</v>
      </c>
      <c r="CI34">
        <v>19</v>
      </c>
      <c r="CJ34" s="7">
        <v>19</v>
      </c>
    </row>
    <row r="35" spans="1:88" x14ac:dyDescent="0.25">
      <c r="A35" t="s">
        <v>167</v>
      </c>
      <c r="B35" t="s">
        <v>151</v>
      </c>
      <c r="C35">
        <v>7</v>
      </c>
      <c r="Y35" s="41" t="s">
        <v>77</v>
      </c>
      <c r="BC35" s="60" t="s">
        <v>77</v>
      </c>
      <c r="BZ35" s="41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7</v>
      </c>
      <c r="CH35">
        <v>0</v>
      </c>
      <c r="CI35">
        <v>7</v>
      </c>
      <c r="CJ35" s="7">
        <v>7</v>
      </c>
    </row>
    <row r="36" spans="1:88" x14ac:dyDescent="0.25">
      <c r="A36" t="s">
        <v>168</v>
      </c>
      <c r="B36" t="s">
        <v>151</v>
      </c>
      <c r="C36">
        <v>199</v>
      </c>
      <c r="E36">
        <v>0</v>
      </c>
      <c r="F36">
        <v>1</v>
      </c>
      <c r="H36">
        <v>0</v>
      </c>
      <c r="J36">
        <v>0</v>
      </c>
      <c r="T36">
        <v>0</v>
      </c>
      <c r="Y36" s="41">
        <v>0</v>
      </c>
      <c r="Z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R36">
        <v>0</v>
      </c>
      <c r="AT36">
        <v>0</v>
      </c>
      <c r="AU36">
        <v>0</v>
      </c>
      <c r="AV36">
        <v>0</v>
      </c>
      <c r="AW36">
        <v>1</v>
      </c>
      <c r="AX36">
        <v>0</v>
      </c>
      <c r="AY36">
        <v>0</v>
      </c>
      <c r="AZ36">
        <v>0</v>
      </c>
      <c r="BB36">
        <v>0</v>
      </c>
      <c r="BC36" s="60" t="s">
        <v>77</v>
      </c>
      <c r="BK36">
        <v>3</v>
      </c>
      <c r="BZ36" s="41">
        <v>24</v>
      </c>
      <c r="CA36">
        <v>1</v>
      </c>
      <c r="CB36">
        <v>25</v>
      </c>
      <c r="CC36">
        <v>1</v>
      </c>
      <c r="CD36">
        <v>3</v>
      </c>
      <c r="CE36">
        <v>4</v>
      </c>
      <c r="CF36">
        <v>5</v>
      </c>
      <c r="CG36">
        <v>200</v>
      </c>
      <c r="CH36">
        <v>30</v>
      </c>
      <c r="CI36">
        <v>204</v>
      </c>
      <c r="CJ36" s="7">
        <v>229</v>
      </c>
    </row>
    <row r="37" spans="1:88" x14ac:dyDescent="0.25">
      <c r="A37" s="1" t="s">
        <v>344</v>
      </c>
      <c r="B37" s="1" t="s">
        <v>149</v>
      </c>
      <c r="C37">
        <v>46</v>
      </c>
      <c r="E37">
        <v>0</v>
      </c>
      <c r="F37">
        <v>0</v>
      </c>
      <c r="H37">
        <v>0</v>
      </c>
      <c r="Y37" s="41" t="s">
        <v>77</v>
      </c>
      <c r="AM37">
        <v>0</v>
      </c>
      <c r="BC37" s="60" t="s">
        <v>77</v>
      </c>
      <c r="BD37">
        <v>0</v>
      </c>
      <c r="BE37">
        <v>0</v>
      </c>
      <c r="BF37">
        <v>0</v>
      </c>
      <c r="BG37">
        <v>0</v>
      </c>
      <c r="BH37">
        <v>0</v>
      </c>
      <c r="BJ37">
        <v>0</v>
      </c>
      <c r="BM37">
        <v>0</v>
      </c>
      <c r="BN37">
        <v>0</v>
      </c>
      <c r="BO37">
        <v>0</v>
      </c>
      <c r="BP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41">
        <v>1</v>
      </c>
      <c r="CA37">
        <v>18</v>
      </c>
      <c r="CB37">
        <v>19</v>
      </c>
      <c r="CC37">
        <v>0</v>
      </c>
      <c r="CD37">
        <v>0</v>
      </c>
      <c r="CE37">
        <v>0</v>
      </c>
      <c r="CF37">
        <v>3</v>
      </c>
      <c r="CG37">
        <v>46</v>
      </c>
      <c r="CH37">
        <v>22</v>
      </c>
      <c r="CI37">
        <v>46</v>
      </c>
      <c r="CJ37" s="7">
        <v>68</v>
      </c>
    </row>
    <row r="38" spans="1:88" x14ac:dyDescent="0.25">
      <c r="A38" t="s">
        <v>169</v>
      </c>
      <c r="B38" t="s">
        <v>151</v>
      </c>
      <c r="C38">
        <v>246</v>
      </c>
      <c r="Y38" s="41" t="s">
        <v>77</v>
      </c>
      <c r="BC38" s="60" t="s">
        <v>77</v>
      </c>
      <c r="BZ38" s="41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246</v>
      </c>
      <c r="CH38">
        <v>0</v>
      </c>
      <c r="CI38">
        <v>246</v>
      </c>
      <c r="CJ38" s="7">
        <v>246</v>
      </c>
    </row>
    <row r="39" spans="1:88" x14ac:dyDescent="0.25">
      <c r="A39" t="s">
        <v>170</v>
      </c>
      <c r="B39" t="s">
        <v>151</v>
      </c>
      <c r="C39">
        <v>339</v>
      </c>
      <c r="Y39" s="41" t="s">
        <v>77</v>
      </c>
      <c r="BC39" s="60" t="s">
        <v>77</v>
      </c>
      <c r="BZ39" s="41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339</v>
      </c>
      <c r="CH39">
        <v>0</v>
      </c>
      <c r="CI39">
        <v>339</v>
      </c>
      <c r="CJ39" s="7">
        <v>339</v>
      </c>
    </row>
    <row r="40" spans="1:88" x14ac:dyDescent="0.25">
      <c r="A40" t="s">
        <v>171</v>
      </c>
      <c r="B40" t="s">
        <v>151</v>
      </c>
      <c r="C40">
        <v>276</v>
      </c>
      <c r="Y40" s="41" t="s">
        <v>77</v>
      </c>
      <c r="BC40" s="60" t="s">
        <v>77</v>
      </c>
      <c r="BZ40" s="41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276</v>
      </c>
      <c r="CH40">
        <v>0</v>
      </c>
      <c r="CI40">
        <v>276</v>
      </c>
      <c r="CJ40" s="7">
        <v>276</v>
      </c>
    </row>
    <row r="41" spans="1:88" x14ac:dyDescent="0.25">
      <c r="A41" t="s">
        <v>172</v>
      </c>
      <c r="B41" t="s">
        <v>151</v>
      </c>
      <c r="C41">
        <v>504</v>
      </c>
      <c r="Y41" s="41" t="s">
        <v>77</v>
      </c>
      <c r="Z41">
        <v>0</v>
      </c>
      <c r="BC41" s="60" t="s">
        <v>77</v>
      </c>
      <c r="BD41">
        <v>3</v>
      </c>
      <c r="BG41">
        <v>1</v>
      </c>
      <c r="BH41">
        <v>3</v>
      </c>
      <c r="BJ41">
        <v>2</v>
      </c>
      <c r="BL41">
        <v>0</v>
      </c>
      <c r="BM41">
        <v>1</v>
      </c>
      <c r="BO41">
        <v>1</v>
      </c>
      <c r="BV41">
        <v>4</v>
      </c>
      <c r="BX41">
        <v>5</v>
      </c>
      <c r="BZ41" s="41">
        <v>1</v>
      </c>
      <c r="CA41">
        <v>9</v>
      </c>
      <c r="CB41">
        <v>10</v>
      </c>
      <c r="CC41">
        <v>0</v>
      </c>
      <c r="CD41">
        <v>20</v>
      </c>
      <c r="CE41">
        <v>20</v>
      </c>
      <c r="CF41">
        <v>0</v>
      </c>
      <c r="CG41">
        <v>504</v>
      </c>
      <c r="CH41">
        <v>10</v>
      </c>
      <c r="CI41">
        <v>524</v>
      </c>
      <c r="CJ41" s="7">
        <v>514</v>
      </c>
    </row>
    <row r="42" spans="1:88" x14ac:dyDescent="0.25">
      <c r="A42" t="s">
        <v>173</v>
      </c>
      <c r="B42" t="s">
        <v>151</v>
      </c>
      <c r="C42">
        <v>357</v>
      </c>
      <c r="P42">
        <v>0</v>
      </c>
      <c r="V42">
        <v>0</v>
      </c>
      <c r="Y42" s="41" t="s">
        <v>77</v>
      </c>
      <c r="BC42" s="60" t="s">
        <v>77</v>
      </c>
      <c r="BI42">
        <v>0</v>
      </c>
      <c r="BK42">
        <v>0</v>
      </c>
      <c r="BQ42">
        <v>0</v>
      </c>
      <c r="BZ42" s="41">
        <v>0</v>
      </c>
      <c r="CA42">
        <v>3</v>
      </c>
      <c r="CB42">
        <v>3</v>
      </c>
      <c r="CC42">
        <v>0</v>
      </c>
      <c r="CD42">
        <v>0</v>
      </c>
      <c r="CE42">
        <v>0</v>
      </c>
      <c r="CF42">
        <v>2</v>
      </c>
      <c r="CG42">
        <v>357</v>
      </c>
      <c r="CH42">
        <v>5</v>
      </c>
      <c r="CI42">
        <v>357</v>
      </c>
      <c r="CJ42" s="7">
        <v>362</v>
      </c>
    </row>
    <row r="43" spans="1:88" x14ac:dyDescent="0.25">
      <c r="A43" t="s">
        <v>174</v>
      </c>
      <c r="B43" t="s">
        <v>151</v>
      </c>
      <c r="C43">
        <v>216</v>
      </c>
      <c r="Y43" s="41" t="s">
        <v>77</v>
      </c>
      <c r="BC43" s="60" t="s">
        <v>77</v>
      </c>
      <c r="BZ43" s="41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216</v>
      </c>
      <c r="CH43">
        <v>0</v>
      </c>
      <c r="CI43">
        <v>216</v>
      </c>
      <c r="CJ43" s="7">
        <v>216</v>
      </c>
    </row>
    <row r="44" spans="1:88" x14ac:dyDescent="0.25">
      <c r="A44" t="s">
        <v>345</v>
      </c>
      <c r="C44">
        <v>35</v>
      </c>
      <c r="Y44" s="41" t="s">
        <v>77</v>
      </c>
      <c r="BB44">
        <v>0</v>
      </c>
      <c r="BC44" s="60" t="s">
        <v>77</v>
      </c>
      <c r="BD44">
        <v>1</v>
      </c>
      <c r="BE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O44">
        <v>0</v>
      </c>
      <c r="BP44">
        <v>0</v>
      </c>
      <c r="BQ44">
        <v>1</v>
      </c>
      <c r="BS44">
        <v>0</v>
      </c>
      <c r="BU44">
        <v>0</v>
      </c>
      <c r="BZ44" s="41">
        <v>1</v>
      </c>
      <c r="CA44">
        <v>12</v>
      </c>
      <c r="CB44">
        <v>13</v>
      </c>
      <c r="CC44">
        <v>0</v>
      </c>
      <c r="CD44">
        <v>2</v>
      </c>
      <c r="CE44">
        <v>2</v>
      </c>
      <c r="CF44">
        <v>0</v>
      </c>
      <c r="CG44">
        <v>35</v>
      </c>
      <c r="CH44">
        <v>13</v>
      </c>
      <c r="CI44">
        <v>37</v>
      </c>
      <c r="CJ44" s="7">
        <v>48</v>
      </c>
    </row>
    <row r="45" spans="1:88" x14ac:dyDescent="0.25">
      <c r="A45" t="s">
        <v>175</v>
      </c>
      <c r="B45" t="s">
        <v>151</v>
      </c>
      <c r="C45">
        <v>260</v>
      </c>
      <c r="O45">
        <v>0</v>
      </c>
      <c r="Y45" s="41">
        <v>0</v>
      </c>
      <c r="BC45" s="60" t="s">
        <v>77</v>
      </c>
      <c r="BD45">
        <v>1</v>
      </c>
      <c r="BH45">
        <v>0</v>
      </c>
      <c r="BZ45" s="41">
        <v>1</v>
      </c>
      <c r="CA45">
        <v>2</v>
      </c>
      <c r="CB45">
        <v>3</v>
      </c>
      <c r="CC45">
        <v>0</v>
      </c>
      <c r="CD45">
        <v>1</v>
      </c>
      <c r="CE45">
        <v>1</v>
      </c>
      <c r="CF45">
        <v>1</v>
      </c>
      <c r="CG45">
        <v>260</v>
      </c>
      <c r="CH45">
        <v>4</v>
      </c>
      <c r="CI45">
        <v>261</v>
      </c>
      <c r="CJ45" s="7">
        <v>264</v>
      </c>
    </row>
    <row r="46" spans="1:88" x14ac:dyDescent="0.25">
      <c r="A46" s="1" t="s">
        <v>498</v>
      </c>
      <c r="C46">
        <v>0</v>
      </c>
      <c r="Y46" s="41" t="s">
        <v>77</v>
      </c>
      <c r="AM46">
        <v>0</v>
      </c>
      <c r="AO46">
        <v>0</v>
      </c>
      <c r="AR46">
        <v>0</v>
      </c>
      <c r="AS46">
        <v>0</v>
      </c>
      <c r="AV46">
        <v>0</v>
      </c>
      <c r="AW46">
        <v>0</v>
      </c>
      <c r="AZ46">
        <v>0</v>
      </c>
      <c r="BA46">
        <v>0</v>
      </c>
      <c r="BB46">
        <v>0</v>
      </c>
      <c r="BC46" s="60" t="s">
        <v>77</v>
      </c>
      <c r="BZ46" s="41">
        <v>9</v>
      </c>
      <c r="CA46">
        <v>0</v>
      </c>
      <c r="CB46">
        <v>9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9</v>
      </c>
      <c r="CI46">
        <v>0</v>
      </c>
      <c r="CJ46" s="7">
        <v>9</v>
      </c>
    </row>
    <row r="47" spans="1:88" x14ac:dyDescent="0.25">
      <c r="A47" t="s">
        <v>346</v>
      </c>
      <c r="C47">
        <v>72</v>
      </c>
      <c r="E47">
        <v>0</v>
      </c>
      <c r="F47">
        <v>0</v>
      </c>
      <c r="H47">
        <v>0</v>
      </c>
      <c r="J47">
        <v>0</v>
      </c>
      <c r="O47">
        <v>0</v>
      </c>
      <c r="T47">
        <v>1</v>
      </c>
      <c r="Y47" s="41" t="s">
        <v>77</v>
      </c>
      <c r="Z47">
        <v>0</v>
      </c>
      <c r="AA47">
        <v>0</v>
      </c>
      <c r="AC47">
        <v>0</v>
      </c>
      <c r="AD47">
        <v>0</v>
      </c>
      <c r="AE47">
        <v>0</v>
      </c>
      <c r="AF47">
        <v>0</v>
      </c>
      <c r="AH47">
        <v>0</v>
      </c>
      <c r="AI47">
        <v>0</v>
      </c>
      <c r="AK47">
        <v>1</v>
      </c>
      <c r="AL47">
        <v>0</v>
      </c>
      <c r="AN47">
        <v>0</v>
      </c>
      <c r="AO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1</v>
      </c>
      <c r="AX47">
        <v>0</v>
      </c>
      <c r="AZ47">
        <v>0</v>
      </c>
      <c r="BB47">
        <v>0</v>
      </c>
      <c r="BC47" s="60" t="s">
        <v>77</v>
      </c>
      <c r="BZ47" s="41">
        <v>21</v>
      </c>
      <c r="CA47">
        <v>0</v>
      </c>
      <c r="CB47">
        <v>21</v>
      </c>
      <c r="CC47">
        <v>2</v>
      </c>
      <c r="CD47">
        <v>0</v>
      </c>
      <c r="CE47">
        <v>2</v>
      </c>
      <c r="CF47">
        <v>6</v>
      </c>
      <c r="CG47">
        <v>73</v>
      </c>
      <c r="CH47">
        <v>27</v>
      </c>
      <c r="CI47">
        <v>75</v>
      </c>
      <c r="CJ47" s="7">
        <v>99</v>
      </c>
    </row>
    <row r="48" spans="1:88" x14ac:dyDescent="0.25">
      <c r="A48" t="s">
        <v>176</v>
      </c>
      <c r="B48" t="s">
        <v>151</v>
      </c>
      <c r="C48">
        <v>226</v>
      </c>
      <c r="E48">
        <v>0</v>
      </c>
      <c r="J48">
        <v>0</v>
      </c>
      <c r="O48">
        <v>0</v>
      </c>
      <c r="T48">
        <v>0</v>
      </c>
      <c r="Y48" s="41">
        <v>0</v>
      </c>
      <c r="Z48">
        <v>0</v>
      </c>
      <c r="AA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N48">
        <v>0</v>
      </c>
      <c r="AO48">
        <v>0</v>
      </c>
      <c r="AP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 s="60" t="s">
        <v>77</v>
      </c>
      <c r="BZ48" s="41">
        <v>27</v>
      </c>
      <c r="CA48">
        <v>0</v>
      </c>
      <c r="CB48">
        <v>27</v>
      </c>
      <c r="CC48">
        <v>0</v>
      </c>
      <c r="CD48">
        <v>0</v>
      </c>
      <c r="CE48">
        <v>0</v>
      </c>
      <c r="CF48">
        <v>4</v>
      </c>
      <c r="CG48">
        <v>226</v>
      </c>
      <c r="CH48">
        <v>31</v>
      </c>
      <c r="CI48">
        <v>226</v>
      </c>
      <c r="CJ48" s="7">
        <v>257</v>
      </c>
    </row>
    <row r="49" spans="1:88" x14ac:dyDescent="0.25">
      <c r="A49" t="s">
        <v>499</v>
      </c>
      <c r="C49">
        <v>3</v>
      </c>
      <c r="P49">
        <v>0</v>
      </c>
      <c r="Y49" s="41" t="s">
        <v>77</v>
      </c>
      <c r="BC49" s="60" t="s">
        <v>77</v>
      </c>
      <c r="BQ49">
        <v>0</v>
      </c>
      <c r="BW49">
        <v>0</v>
      </c>
      <c r="BX49">
        <v>0</v>
      </c>
      <c r="BZ49" s="41">
        <v>0</v>
      </c>
      <c r="CA49">
        <v>3</v>
      </c>
      <c r="CB49">
        <v>3</v>
      </c>
      <c r="CC49">
        <v>0</v>
      </c>
      <c r="CD49">
        <v>0</v>
      </c>
      <c r="CE49">
        <v>0</v>
      </c>
      <c r="CF49">
        <v>1</v>
      </c>
      <c r="CG49">
        <v>3</v>
      </c>
      <c r="CH49">
        <v>4</v>
      </c>
      <c r="CI49">
        <v>3</v>
      </c>
      <c r="CJ49" s="7">
        <v>7</v>
      </c>
    </row>
    <row r="50" spans="1:88" x14ac:dyDescent="0.25">
      <c r="A50" t="s">
        <v>177</v>
      </c>
      <c r="B50" t="s">
        <v>149</v>
      </c>
      <c r="C50">
        <v>96</v>
      </c>
      <c r="O50" s="1">
        <v>0</v>
      </c>
      <c r="P50">
        <v>0</v>
      </c>
      <c r="Y50" s="41" t="s">
        <v>77</v>
      </c>
      <c r="BC50" s="60" t="s">
        <v>77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Q50">
        <v>0</v>
      </c>
      <c r="BR50">
        <v>0</v>
      </c>
      <c r="BS50">
        <v>0</v>
      </c>
      <c r="BU50">
        <v>0</v>
      </c>
      <c r="BV50">
        <v>0</v>
      </c>
      <c r="BX50">
        <v>0</v>
      </c>
      <c r="BZ50" s="41">
        <v>0</v>
      </c>
      <c r="CA50">
        <v>16</v>
      </c>
      <c r="CB50">
        <v>16</v>
      </c>
      <c r="CC50">
        <v>0</v>
      </c>
      <c r="CD50">
        <v>0</v>
      </c>
      <c r="CE50">
        <v>0</v>
      </c>
      <c r="CF50">
        <v>2</v>
      </c>
      <c r="CG50">
        <v>96</v>
      </c>
      <c r="CH50">
        <v>18</v>
      </c>
      <c r="CI50">
        <v>96</v>
      </c>
      <c r="CJ50" s="7">
        <v>114</v>
      </c>
    </row>
    <row r="51" spans="1:88" x14ac:dyDescent="0.25">
      <c r="A51" t="s">
        <v>425</v>
      </c>
      <c r="C51">
        <v>16</v>
      </c>
      <c r="P51">
        <v>0</v>
      </c>
      <c r="V51">
        <v>0</v>
      </c>
      <c r="Y51" s="41" t="s">
        <v>77</v>
      </c>
      <c r="BC51" s="60" t="s">
        <v>77</v>
      </c>
      <c r="BZ51" s="4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2</v>
      </c>
      <c r="CG51">
        <v>16</v>
      </c>
      <c r="CH51">
        <v>2</v>
      </c>
      <c r="CI51">
        <v>16</v>
      </c>
      <c r="CJ51" s="7">
        <v>18</v>
      </c>
    </row>
    <row r="52" spans="1:88" x14ac:dyDescent="0.25">
      <c r="A52" t="s">
        <v>178</v>
      </c>
      <c r="B52" t="s">
        <v>149</v>
      </c>
      <c r="C52">
        <v>182</v>
      </c>
      <c r="E52">
        <v>0</v>
      </c>
      <c r="F52">
        <v>0</v>
      </c>
      <c r="J52">
        <v>0</v>
      </c>
      <c r="T52">
        <v>1</v>
      </c>
      <c r="Y52" s="41" t="s">
        <v>77</v>
      </c>
      <c r="Z52">
        <v>0</v>
      </c>
      <c r="AA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O52">
        <v>0</v>
      </c>
      <c r="AP52">
        <v>0</v>
      </c>
      <c r="AR52">
        <v>1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1</v>
      </c>
      <c r="AZ52">
        <v>0</v>
      </c>
      <c r="BA52">
        <v>0</v>
      </c>
      <c r="BB52">
        <v>0</v>
      </c>
      <c r="BC52" s="60" t="s">
        <v>77</v>
      </c>
      <c r="BZ52" s="41">
        <v>26</v>
      </c>
      <c r="CA52">
        <v>0</v>
      </c>
      <c r="CB52">
        <v>26</v>
      </c>
      <c r="CC52">
        <v>2</v>
      </c>
      <c r="CD52">
        <v>0</v>
      </c>
      <c r="CE52">
        <v>2</v>
      </c>
      <c r="CF52">
        <v>4</v>
      </c>
      <c r="CG52">
        <v>183</v>
      </c>
      <c r="CH52">
        <v>30</v>
      </c>
      <c r="CI52">
        <v>185</v>
      </c>
      <c r="CJ52" s="7">
        <v>212</v>
      </c>
    </row>
    <row r="53" spans="1:88" x14ac:dyDescent="0.25">
      <c r="A53" t="s">
        <v>179</v>
      </c>
      <c r="B53" t="s">
        <v>151</v>
      </c>
      <c r="C53">
        <v>197</v>
      </c>
      <c r="J53">
        <v>0</v>
      </c>
      <c r="Y53" s="41" t="s">
        <v>77</v>
      </c>
      <c r="AM53">
        <v>0</v>
      </c>
      <c r="AN53">
        <v>1</v>
      </c>
      <c r="AO53">
        <v>0</v>
      </c>
      <c r="AP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BC53" s="60" t="s">
        <v>77</v>
      </c>
      <c r="BZ53" s="41">
        <v>12</v>
      </c>
      <c r="CA53">
        <v>0</v>
      </c>
      <c r="CB53">
        <v>12</v>
      </c>
      <c r="CC53">
        <v>1</v>
      </c>
      <c r="CD53">
        <v>0</v>
      </c>
      <c r="CE53">
        <v>1</v>
      </c>
      <c r="CF53">
        <v>1</v>
      </c>
      <c r="CG53">
        <v>197</v>
      </c>
      <c r="CH53">
        <v>13</v>
      </c>
      <c r="CI53">
        <v>198</v>
      </c>
      <c r="CJ53" s="7">
        <v>210</v>
      </c>
    </row>
    <row r="54" spans="1:88" x14ac:dyDescent="0.25">
      <c r="A54" t="s">
        <v>180</v>
      </c>
      <c r="B54" t="s">
        <v>149</v>
      </c>
      <c r="C54">
        <v>83</v>
      </c>
      <c r="Y54" s="41" t="s">
        <v>77</v>
      </c>
      <c r="BC54" s="60" t="s">
        <v>77</v>
      </c>
      <c r="BZ54" s="41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83</v>
      </c>
      <c r="CH54">
        <v>0</v>
      </c>
      <c r="CI54">
        <v>83</v>
      </c>
      <c r="CJ54" s="7">
        <v>83</v>
      </c>
    </row>
    <row r="55" spans="1:88" x14ac:dyDescent="0.25">
      <c r="A55" t="s">
        <v>347</v>
      </c>
      <c r="B55" t="s">
        <v>149</v>
      </c>
      <c r="C55">
        <v>5</v>
      </c>
      <c r="S55" s="1"/>
      <c r="Y55" s="41" t="s">
        <v>77</v>
      </c>
      <c r="BC55" s="60" t="s">
        <v>77</v>
      </c>
      <c r="BZ55" s="41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5</v>
      </c>
      <c r="CH55">
        <v>0</v>
      </c>
      <c r="CI55">
        <v>5</v>
      </c>
      <c r="CJ55" s="7">
        <v>5</v>
      </c>
    </row>
    <row r="56" spans="1:88" x14ac:dyDescent="0.25">
      <c r="A56" t="s">
        <v>181</v>
      </c>
      <c r="B56" t="s">
        <v>151</v>
      </c>
      <c r="C56">
        <v>355</v>
      </c>
      <c r="Y56" s="41" t="s">
        <v>77</v>
      </c>
      <c r="BC56" s="60" t="s">
        <v>77</v>
      </c>
      <c r="BZ56" s="41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355</v>
      </c>
      <c r="CH56">
        <v>0</v>
      </c>
      <c r="CI56">
        <v>355</v>
      </c>
      <c r="CJ56" s="7">
        <v>355</v>
      </c>
    </row>
    <row r="57" spans="1:88" x14ac:dyDescent="0.25">
      <c r="A57" t="s">
        <v>271</v>
      </c>
      <c r="B57" t="s">
        <v>151</v>
      </c>
      <c r="C57">
        <v>81</v>
      </c>
      <c r="Y57" s="41" t="s">
        <v>77</v>
      </c>
      <c r="BC57" s="60" t="s">
        <v>77</v>
      </c>
      <c r="BE57">
        <v>0</v>
      </c>
      <c r="BF57">
        <v>0</v>
      </c>
      <c r="BG57">
        <v>0</v>
      </c>
      <c r="BH57">
        <v>1</v>
      </c>
      <c r="BI57">
        <v>0</v>
      </c>
      <c r="BJ57">
        <v>0</v>
      </c>
      <c r="BK57">
        <v>1</v>
      </c>
      <c r="BL57">
        <v>0</v>
      </c>
      <c r="BM57">
        <v>0</v>
      </c>
      <c r="BN57">
        <v>0</v>
      </c>
      <c r="BP57">
        <v>0</v>
      </c>
      <c r="BQ57">
        <v>0</v>
      </c>
      <c r="BU57">
        <v>0</v>
      </c>
      <c r="BW57">
        <v>0</v>
      </c>
      <c r="BX57">
        <v>0</v>
      </c>
      <c r="BY57">
        <v>0</v>
      </c>
      <c r="BZ57" s="41">
        <v>0</v>
      </c>
      <c r="CA57">
        <v>16</v>
      </c>
      <c r="CB57">
        <v>16</v>
      </c>
      <c r="CC57">
        <v>0</v>
      </c>
      <c r="CD57">
        <v>2</v>
      </c>
      <c r="CE57">
        <v>2</v>
      </c>
      <c r="CF57">
        <v>0</v>
      </c>
      <c r="CG57">
        <v>81</v>
      </c>
      <c r="CH57">
        <v>16</v>
      </c>
      <c r="CI57">
        <v>83</v>
      </c>
      <c r="CJ57" s="7">
        <v>97</v>
      </c>
    </row>
    <row r="58" spans="1:88" x14ac:dyDescent="0.25">
      <c r="A58" s="1" t="s">
        <v>348</v>
      </c>
      <c r="B58" s="1" t="s">
        <v>149</v>
      </c>
      <c r="C58">
        <v>70</v>
      </c>
      <c r="E58">
        <v>0</v>
      </c>
      <c r="F58">
        <v>0</v>
      </c>
      <c r="H58">
        <v>0</v>
      </c>
      <c r="J58">
        <v>0</v>
      </c>
      <c r="O58">
        <v>0</v>
      </c>
      <c r="P58">
        <v>0</v>
      </c>
      <c r="T58">
        <v>0</v>
      </c>
      <c r="Y58" s="41" t="s">
        <v>77</v>
      </c>
      <c r="Z58">
        <v>0</v>
      </c>
      <c r="AA58">
        <v>0</v>
      </c>
      <c r="AD58">
        <v>0</v>
      </c>
      <c r="AG58">
        <v>0</v>
      </c>
      <c r="AJ58">
        <v>0</v>
      </c>
      <c r="AK58">
        <v>0</v>
      </c>
      <c r="AL58">
        <v>0</v>
      </c>
      <c r="BA58">
        <v>0</v>
      </c>
      <c r="BB58">
        <v>0</v>
      </c>
      <c r="BC58" s="60" t="s">
        <v>77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1</v>
      </c>
      <c r="BK58">
        <v>2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1</v>
      </c>
      <c r="BR58">
        <v>0</v>
      </c>
      <c r="BS58">
        <v>2</v>
      </c>
      <c r="BT58">
        <v>1</v>
      </c>
      <c r="BU58">
        <v>0</v>
      </c>
      <c r="BV58">
        <v>0</v>
      </c>
      <c r="BW58">
        <v>0</v>
      </c>
      <c r="BZ58" s="41">
        <v>9</v>
      </c>
      <c r="CA58">
        <v>20</v>
      </c>
      <c r="CB58">
        <v>29</v>
      </c>
      <c r="CC58">
        <v>0</v>
      </c>
      <c r="CD58">
        <v>7</v>
      </c>
      <c r="CE58">
        <v>7</v>
      </c>
      <c r="CF58">
        <v>7</v>
      </c>
      <c r="CG58">
        <v>70</v>
      </c>
      <c r="CH58">
        <v>36</v>
      </c>
      <c r="CI58">
        <v>77</v>
      </c>
      <c r="CJ58" s="7">
        <v>106</v>
      </c>
    </row>
    <row r="59" spans="1:88" x14ac:dyDescent="0.25">
      <c r="A59" t="s">
        <v>182</v>
      </c>
      <c r="B59" t="s">
        <v>151</v>
      </c>
      <c r="C59">
        <v>108</v>
      </c>
      <c r="E59">
        <v>0</v>
      </c>
      <c r="F59">
        <v>0</v>
      </c>
      <c r="H59">
        <v>0</v>
      </c>
      <c r="T59">
        <v>0</v>
      </c>
      <c r="Y59" s="41">
        <v>0</v>
      </c>
      <c r="Z59">
        <v>0</v>
      </c>
      <c r="AA59">
        <v>0</v>
      </c>
      <c r="AC59">
        <v>0</v>
      </c>
      <c r="AG59">
        <v>0</v>
      </c>
      <c r="AL59">
        <v>0</v>
      </c>
      <c r="AN59">
        <v>0</v>
      </c>
      <c r="AS59">
        <v>0</v>
      </c>
      <c r="BC59" s="60" t="s">
        <v>77</v>
      </c>
      <c r="BD59">
        <v>0</v>
      </c>
      <c r="BE59">
        <v>1</v>
      </c>
      <c r="BF59">
        <v>0</v>
      </c>
      <c r="BH59">
        <v>0</v>
      </c>
      <c r="BI59">
        <v>0</v>
      </c>
      <c r="BJ59">
        <v>0</v>
      </c>
      <c r="BK59">
        <v>1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W59">
        <v>1</v>
      </c>
      <c r="BX59">
        <v>1</v>
      </c>
      <c r="BY59">
        <v>0</v>
      </c>
      <c r="BZ59" s="41">
        <v>8</v>
      </c>
      <c r="CA59">
        <v>18</v>
      </c>
      <c r="CB59">
        <v>26</v>
      </c>
      <c r="CC59">
        <v>0</v>
      </c>
      <c r="CD59">
        <v>4</v>
      </c>
      <c r="CE59">
        <v>4</v>
      </c>
      <c r="CF59">
        <v>4</v>
      </c>
      <c r="CG59">
        <v>108</v>
      </c>
      <c r="CH59">
        <v>30</v>
      </c>
      <c r="CI59">
        <v>112</v>
      </c>
      <c r="CJ59" s="7">
        <v>138</v>
      </c>
    </row>
    <row r="60" spans="1:88" x14ac:dyDescent="0.25">
      <c r="A60" t="s">
        <v>183</v>
      </c>
      <c r="B60" t="s">
        <v>151</v>
      </c>
      <c r="C60">
        <v>8</v>
      </c>
      <c r="Y60" s="41" t="s">
        <v>77</v>
      </c>
      <c r="BC60" s="60" t="s">
        <v>77</v>
      </c>
      <c r="BZ60" s="41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8</v>
      </c>
      <c r="CH60">
        <v>0</v>
      </c>
      <c r="CI60">
        <v>8</v>
      </c>
      <c r="CJ60" s="7">
        <v>8</v>
      </c>
    </row>
    <row r="61" spans="1:88" x14ac:dyDescent="0.25">
      <c r="A61" t="s">
        <v>184</v>
      </c>
      <c r="B61" t="s">
        <v>149</v>
      </c>
      <c r="C61">
        <v>265</v>
      </c>
      <c r="Y61" s="41" t="s">
        <v>77</v>
      </c>
      <c r="BC61" s="60" t="s">
        <v>77</v>
      </c>
      <c r="BZ61" s="4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265</v>
      </c>
      <c r="CH61">
        <v>0</v>
      </c>
      <c r="CI61">
        <v>265</v>
      </c>
      <c r="CJ61" s="7">
        <v>265</v>
      </c>
    </row>
    <row r="62" spans="1:88" x14ac:dyDescent="0.25">
      <c r="A62" t="s">
        <v>500</v>
      </c>
      <c r="C62">
        <v>0</v>
      </c>
      <c r="Y62" s="41" t="s">
        <v>77</v>
      </c>
      <c r="BA62">
        <v>0</v>
      </c>
      <c r="BC62" s="60" t="s">
        <v>77</v>
      </c>
      <c r="BF62">
        <v>1</v>
      </c>
      <c r="BL62">
        <v>0</v>
      </c>
      <c r="BW62">
        <v>0</v>
      </c>
      <c r="BZ62" s="41">
        <v>1</v>
      </c>
      <c r="CA62">
        <v>3</v>
      </c>
      <c r="CB62">
        <v>4</v>
      </c>
      <c r="CC62">
        <v>0</v>
      </c>
      <c r="CD62">
        <v>1</v>
      </c>
      <c r="CE62">
        <v>1</v>
      </c>
      <c r="CF62">
        <v>0</v>
      </c>
      <c r="CG62">
        <v>0</v>
      </c>
      <c r="CH62">
        <v>4</v>
      </c>
      <c r="CI62">
        <v>1</v>
      </c>
      <c r="CJ62" s="7">
        <v>4</v>
      </c>
    </row>
    <row r="63" spans="1:88" x14ac:dyDescent="0.25">
      <c r="A63" t="s">
        <v>185</v>
      </c>
      <c r="B63" t="s">
        <v>149</v>
      </c>
      <c r="C63">
        <v>108</v>
      </c>
      <c r="Y63" s="41" t="s">
        <v>77</v>
      </c>
      <c r="BC63" s="60" t="s">
        <v>77</v>
      </c>
      <c r="BZ63" s="41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108</v>
      </c>
      <c r="CH63">
        <v>0</v>
      </c>
      <c r="CI63">
        <v>108</v>
      </c>
      <c r="CJ63" s="7">
        <v>108</v>
      </c>
    </row>
    <row r="64" spans="1:88" x14ac:dyDescent="0.25">
      <c r="A64" t="s">
        <v>186</v>
      </c>
      <c r="B64" t="s">
        <v>149</v>
      </c>
      <c r="C64">
        <v>106</v>
      </c>
      <c r="Y64" s="41" t="s">
        <v>77</v>
      </c>
      <c r="BC64" s="60" t="s">
        <v>77</v>
      </c>
      <c r="BZ64" s="41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106</v>
      </c>
      <c r="CH64">
        <v>0</v>
      </c>
      <c r="CI64">
        <v>106</v>
      </c>
      <c r="CJ64" s="7">
        <v>106</v>
      </c>
    </row>
    <row r="65" spans="1:88" x14ac:dyDescent="0.25">
      <c r="A65" t="s">
        <v>501</v>
      </c>
      <c r="C65">
        <v>0</v>
      </c>
      <c r="Y65" s="41" t="s">
        <v>77</v>
      </c>
      <c r="BC65" s="60" t="s">
        <v>77</v>
      </c>
      <c r="BK65">
        <v>0</v>
      </c>
      <c r="BL65">
        <v>0</v>
      </c>
      <c r="BP65">
        <v>0</v>
      </c>
      <c r="BU65">
        <v>0</v>
      </c>
      <c r="BW65">
        <v>0</v>
      </c>
      <c r="BX65">
        <v>0</v>
      </c>
      <c r="BY65">
        <v>0</v>
      </c>
      <c r="BZ65" s="41">
        <v>0</v>
      </c>
      <c r="CA65">
        <v>7</v>
      </c>
      <c r="CB65">
        <v>7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7</v>
      </c>
      <c r="CI65">
        <v>0</v>
      </c>
      <c r="CJ65" s="7">
        <v>7</v>
      </c>
    </row>
    <row r="66" spans="1:88" x14ac:dyDescent="0.25">
      <c r="A66" t="s">
        <v>187</v>
      </c>
      <c r="B66" t="s">
        <v>149</v>
      </c>
      <c r="C66">
        <v>119</v>
      </c>
      <c r="Y66" s="41" t="s">
        <v>77</v>
      </c>
      <c r="BC66" s="60" t="s">
        <v>77</v>
      </c>
      <c r="BH66">
        <v>1</v>
      </c>
      <c r="BV66">
        <v>1</v>
      </c>
      <c r="BZ66" s="41">
        <v>0</v>
      </c>
      <c r="CA66">
        <v>2</v>
      </c>
      <c r="CB66">
        <v>2</v>
      </c>
      <c r="CC66">
        <v>0</v>
      </c>
      <c r="CD66">
        <v>2</v>
      </c>
      <c r="CE66">
        <v>2</v>
      </c>
      <c r="CF66">
        <v>0</v>
      </c>
      <c r="CG66">
        <v>119</v>
      </c>
      <c r="CH66">
        <v>2</v>
      </c>
      <c r="CI66">
        <v>121</v>
      </c>
      <c r="CJ66" s="7">
        <v>121</v>
      </c>
    </row>
    <row r="67" spans="1:88" x14ac:dyDescent="0.25">
      <c r="A67" t="s">
        <v>272</v>
      </c>
      <c r="B67" t="s">
        <v>151</v>
      </c>
      <c r="C67">
        <v>128</v>
      </c>
      <c r="E67">
        <v>0</v>
      </c>
      <c r="F67">
        <v>0</v>
      </c>
      <c r="H67">
        <v>0</v>
      </c>
      <c r="J67">
        <v>0</v>
      </c>
      <c r="O67">
        <v>1</v>
      </c>
      <c r="T67">
        <v>1</v>
      </c>
      <c r="Y67" s="41" t="s">
        <v>77</v>
      </c>
      <c r="AA67">
        <v>0</v>
      </c>
      <c r="AC67">
        <v>0</v>
      </c>
      <c r="AD67">
        <v>1</v>
      </c>
      <c r="AE67">
        <v>1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M67">
        <v>0</v>
      </c>
      <c r="AN67">
        <v>0</v>
      </c>
      <c r="AO67">
        <v>0</v>
      </c>
      <c r="AP67">
        <v>1</v>
      </c>
      <c r="AR67">
        <v>0</v>
      </c>
      <c r="AT67">
        <v>0</v>
      </c>
      <c r="AU67">
        <v>0</v>
      </c>
      <c r="AV67">
        <v>3</v>
      </c>
      <c r="AW67">
        <v>1</v>
      </c>
      <c r="AX67">
        <v>0</v>
      </c>
      <c r="AY67">
        <v>0</v>
      </c>
      <c r="AZ67">
        <v>0</v>
      </c>
      <c r="BA67">
        <v>0</v>
      </c>
      <c r="BB67">
        <v>0</v>
      </c>
      <c r="BC67" s="60" t="s">
        <v>77</v>
      </c>
      <c r="BZ67" s="41">
        <v>24</v>
      </c>
      <c r="CA67">
        <v>0</v>
      </c>
      <c r="CB67">
        <v>24</v>
      </c>
      <c r="CC67">
        <v>7</v>
      </c>
      <c r="CD67">
        <v>0</v>
      </c>
      <c r="CE67">
        <v>7</v>
      </c>
      <c r="CF67">
        <v>6</v>
      </c>
      <c r="CG67">
        <v>130</v>
      </c>
      <c r="CH67">
        <v>30</v>
      </c>
      <c r="CI67">
        <v>137</v>
      </c>
      <c r="CJ67" s="7">
        <v>158</v>
      </c>
    </row>
    <row r="68" spans="1:88" x14ac:dyDescent="0.25">
      <c r="A68" t="s">
        <v>188</v>
      </c>
      <c r="B68" t="s">
        <v>151</v>
      </c>
      <c r="C68">
        <v>262</v>
      </c>
      <c r="E68">
        <v>0</v>
      </c>
      <c r="F68">
        <v>0</v>
      </c>
      <c r="H68">
        <v>1</v>
      </c>
      <c r="R68" s="1"/>
      <c r="Y68" s="41">
        <v>0</v>
      </c>
      <c r="BC68" s="60" t="s">
        <v>77</v>
      </c>
      <c r="BE68">
        <v>4</v>
      </c>
      <c r="BF68">
        <v>0</v>
      </c>
      <c r="BZ68" s="41">
        <v>1</v>
      </c>
      <c r="CA68">
        <v>2</v>
      </c>
      <c r="CB68">
        <v>3</v>
      </c>
      <c r="CC68">
        <v>0</v>
      </c>
      <c r="CD68">
        <v>4</v>
      </c>
      <c r="CE68">
        <v>4</v>
      </c>
      <c r="CF68">
        <v>3</v>
      </c>
      <c r="CG68">
        <v>263</v>
      </c>
      <c r="CH68">
        <v>6</v>
      </c>
      <c r="CI68">
        <v>267</v>
      </c>
      <c r="CJ68" s="7">
        <v>268</v>
      </c>
    </row>
    <row r="69" spans="1:88" x14ac:dyDescent="0.25">
      <c r="A69" s="1" t="s">
        <v>349</v>
      </c>
      <c r="B69" s="1" t="s">
        <v>151</v>
      </c>
      <c r="C69">
        <v>15</v>
      </c>
      <c r="Y69" s="41" t="s">
        <v>77</v>
      </c>
      <c r="BC69" s="60" t="s">
        <v>77</v>
      </c>
      <c r="BZ69" s="41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15</v>
      </c>
      <c r="CH69">
        <v>0</v>
      </c>
      <c r="CI69">
        <v>15</v>
      </c>
      <c r="CJ69" s="7">
        <v>15</v>
      </c>
    </row>
    <row r="70" spans="1:88" x14ac:dyDescent="0.25">
      <c r="A70" t="s">
        <v>189</v>
      </c>
      <c r="B70" t="s">
        <v>151</v>
      </c>
      <c r="C70">
        <v>135</v>
      </c>
      <c r="Y70" s="41" t="s">
        <v>77</v>
      </c>
      <c r="BC70" s="60" t="s">
        <v>77</v>
      </c>
      <c r="BD70">
        <v>0</v>
      </c>
      <c r="BE70">
        <v>1</v>
      </c>
      <c r="BF70">
        <v>1</v>
      </c>
      <c r="BG70">
        <v>0</v>
      </c>
      <c r="BH70">
        <v>0</v>
      </c>
      <c r="BI70">
        <v>0</v>
      </c>
      <c r="BJ70">
        <v>0</v>
      </c>
      <c r="BK70">
        <v>1</v>
      </c>
      <c r="BL70">
        <v>0</v>
      </c>
      <c r="BM70">
        <v>0</v>
      </c>
      <c r="BN70">
        <v>0</v>
      </c>
      <c r="BO70">
        <v>0</v>
      </c>
      <c r="BP70">
        <v>0</v>
      </c>
      <c r="BR70">
        <v>0</v>
      </c>
      <c r="BS70">
        <v>1</v>
      </c>
      <c r="BT70">
        <v>0</v>
      </c>
      <c r="BU70">
        <v>0</v>
      </c>
      <c r="BV70">
        <v>0</v>
      </c>
      <c r="BW70">
        <v>0</v>
      </c>
      <c r="BX70">
        <v>1</v>
      </c>
      <c r="BY70">
        <v>0</v>
      </c>
      <c r="BZ70" s="41">
        <v>0</v>
      </c>
      <c r="CA70">
        <v>21</v>
      </c>
      <c r="CB70">
        <v>21</v>
      </c>
      <c r="CC70">
        <v>0</v>
      </c>
      <c r="CD70">
        <v>5</v>
      </c>
      <c r="CE70">
        <v>5</v>
      </c>
      <c r="CF70">
        <v>0</v>
      </c>
      <c r="CG70">
        <v>135</v>
      </c>
      <c r="CH70">
        <v>21</v>
      </c>
      <c r="CI70">
        <v>140</v>
      </c>
      <c r="CJ70" s="7">
        <v>156</v>
      </c>
    </row>
    <row r="71" spans="1:88" x14ac:dyDescent="0.25">
      <c r="A71" t="s">
        <v>190</v>
      </c>
      <c r="B71" t="s">
        <v>151</v>
      </c>
      <c r="C71">
        <v>196</v>
      </c>
      <c r="E71">
        <v>0</v>
      </c>
      <c r="H71">
        <v>1</v>
      </c>
      <c r="O71">
        <v>0</v>
      </c>
      <c r="P71">
        <v>0</v>
      </c>
      <c r="Y71" s="41" t="s">
        <v>77</v>
      </c>
      <c r="AA71">
        <v>0</v>
      </c>
      <c r="AC71">
        <v>0</v>
      </c>
      <c r="AD71">
        <v>0</v>
      </c>
      <c r="AG71">
        <v>0</v>
      </c>
      <c r="AH71">
        <v>0</v>
      </c>
      <c r="AI71">
        <v>0</v>
      </c>
      <c r="AJ71">
        <v>0</v>
      </c>
      <c r="AK71">
        <v>1</v>
      </c>
      <c r="AL71">
        <v>0</v>
      </c>
      <c r="AM71">
        <v>0</v>
      </c>
      <c r="AN71">
        <v>0</v>
      </c>
      <c r="AP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Y71">
        <v>0</v>
      </c>
      <c r="AZ71">
        <v>0</v>
      </c>
      <c r="BA71">
        <v>0</v>
      </c>
      <c r="BC71" s="60" t="s">
        <v>77</v>
      </c>
      <c r="BU71">
        <v>0</v>
      </c>
      <c r="BZ71" s="41">
        <v>21</v>
      </c>
      <c r="CA71">
        <v>1</v>
      </c>
      <c r="CB71">
        <v>22</v>
      </c>
      <c r="CC71">
        <v>1</v>
      </c>
      <c r="CD71">
        <v>0</v>
      </c>
      <c r="CE71">
        <v>1</v>
      </c>
      <c r="CF71">
        <v>4</v>
      </c>
      <c r="CG71">
        <v>197</v>
      </c>
      <c r="CH71">
        <v>26</v>
      </c>
      <c r="CI71">
        <v>198</v>
      </c>
      <c r="CJ71" s="7">
        <v>222</v>
      </c>
    </row>
    <row r="72" spans="1:88" x14ac:dyDescent="0.25">
      <c r="A72" t="s">
        <v>191</v>
      </c>
      <c r="B72" t="s">
        <v>151</v>
      </c>
      <c r="C72">
        <v>86</v>
      </c>
      <c r="Y72" s="41" t="s">
        <v>77</v>
      </c>
      <c r="BC72" s="60" t="s">
        <v>77</v>
      </c>
      <c r="BZ72" s="41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86</v>
      </c>
      <c r="CH72">
        <v>0</v>
      </c>
      <c r="CI72">
        <v>86</v>
      </c>
      <c r="CJ72" s="7">
        <v>86</v>
      </c>
    </row>
    <row r="73" spans="1:88" x14ac:dyDescent="0.25">
      <c r="A73" t="s">
        <v>192</v>
      </c>
      <c r="B73" t="s">
        <v>149</v>
      </c>
      <c r="C73">
        <v>351</v>
      </c>
      <c r="H73">
        <v>0</v>
      </c>
      <c r="J73">
        <v>0</v>
      </c>
      <c r="P73">
        <v>0</v>
      </c>
      <c r="V73">
        <v>0</v>
      </c>
      <c r="Y73" s="41" t="s">
        <v>77</v>
      </c>
      <c r="BC73" s="60" t="s">
        <v>77</v>
      </c>
      <c r="BI73">
        <v>0</v>
      </c>
      <c r="BK73">
        <v>0</v>
      </c>
      <c r="BL73">
        <v>0</v>
      </c>
      <c r="BS73">
        <v>0</v>
      </c>
      <c r="BU73">
        <v>0</v>
      </c>
      <c r="BV73">
        <v>0</v>
      </c>
      <c r="BX73">
        <v>0</v>
      </c>
      <c r="BY73">
        <v>0</v>
      </c>
      <c r="BZ73" s="41">
        <v>0</v>
      </c>
      <c r="CA73">
        <v>8</v>
      </c>
      <c r="CB73">
        <v>8</v>
      </c>
      <c r="CC73">
        <v>0</v>
      </c>
      <c r="CD73">
        <v>0</v>
      </c>
      <c r="CE73">
        <v>0</v>
      </c>
      <c r="CF73">
        <v>4</v>
      </c>
      <c r="CG73">
        <v>351</v>
      </c>
      <c r="CH73">
        <v>12</v>
      </c>
      <c r="CI73">
        <v>351</v>
      </c>
      <c r="CJ73" s="7">
        <v>363</v>
      </c>
    </row>
    <row r="74" spans="1:88" x14ac:dyDescent="0.25">
      <c r="A74" s="1" t="s">
        <v>426</v>
      </c>
      <c r="B74" s="1" t="s">
        <v>151</v>
      </c>
      <c r="C74">
        <v>35</v>
      </c>
      <c r="E74">
        <v>0</v>
      </c>
      <c r="F74">
        <v>0</v>
      </c>
      <c r="H74">
        <v>0</v>
      </c>
      <c r="O74" s="1">
        <v>0</v>
      </c>
      <c r="Y74" s="41" t="s">
        <v>77</v>
      </c>
      <c r="AW74">
        <v>1</v>
      </c>
      <c r="BC74" s="60" t="s">
        <v>77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O74">
        <v>0</v>
      </c>
      <c r="BP74">
        <v>0</v>
      </c>
      <c r="BR74">
        <v>0</v>
      </c>
      <c r="BS74">
        <v>0</v>
      </c>
      <c r="BT74">
        <v>0</v>
      </c>
      <c r="BW74">
        <v>1</v>
      </c>
      <c r="BZ74" s="41">
        <v>1</v>
      </c>
      <c r="CA74">
        <v>15</v>
      </c>
      <c r="CB74">
        <v>16</v>
      </c>
      <c r="CC74">
        <v>1</v>
      </c>
      <c r="CD74">
        <v>1</v>
      </c>
      <c r="CE74">
        <v>2</v>
      </c>
      <c r="CF74">
        <v>4</v>
      </c>
      <c r="CG74">
        <v>35</v>
      </c>
      <c r="CH74">
        <v>20</v>
      </c>
      <c r="CI74">
        <v>37</v>
      </c>
      <c r="CJ74" s="7">
        <v>55</v>
      </c>
    </row>
    <row r="75" spans="1:88" x14ac:dyDescent="0.25">
      <c r="A75" t="s">
        <v>193</v>
      </c>
      <c r="B75" t="s">
        <v>151</v>
      </c>
      <c r="C75">
        <v>134</v>
      </c>
      <c r="E75">
        <v>0</v>
      </c>
      <c r="F75">
        <v>1</v>
      </c>
      <c r="H75">
        <v>0</v>
      </c>
      <c r="P75">
        <v>0</v>
      </c>
      <c r="Y75" s="41">
        <v>0</v>
      </c>
      <c r="Z75">
        <v>0</v>
      </c>
      <c r="AE75">
        <v>0</v>
      </c>
      <c r="AF75">
        <v>1</v>
      </c>
      <c r="AG75">
        <v>1</v>
      </c>
      <c r="AH75">
        <v>0</v>
      </c>
      <c r="AI75">
        <v>1</v>
      </c>
      <c r="AJ75">
        <v>0</v>
      </c>
      <c r="AL75">
        <v>2</v>
      </c>
      <c r="AM75">
        <v>1</v>
      </c>
      <c r="AN75">
        <v>0</v>
      </c>
      <c r="AO75">
        <v>0</v>
      </c>
      <c r="AP75">
        <v>1</v>
      </c>
      <c r="AR75">
        <v>0</v>
      </c>
      <c r="AS75">
        <v>0</v>
      </c>
      <c r="AT75">
        <v>0</v>
      </c>
      <c r="AU75">
        <v>0</v>
      </c>
      <c r="AY75">
        <v>0</v>
      </c>
      <c r="BC75" s="60" t="s">
        <v>77</v>
      </c>
      <c r="BV75">
        <v>0</v>
      </c>
      <c r="BW75">
        <v>0</v>
      </c>
      <c r="BZ75" s="41">
        <v>18</v>
      </c>
      <c r="CA75">
        <v>2</v>
      </c>
      <c r="CB75">
        <v>20</v>
      </c>
      <c r="CC75">
        <v>7</v>
      </c>
      <c r="CD75">
        <v>0</v>
      </c>
      <c r="CE75">
        <v>7</v>
      </c>
      <c r="CF75">
        <v>4</v>
      </c>
      <c r="CG75">
        <v>135</v>
      </c>
      <c r="CH75">
        <v>24</v>
      </c>
      <c r="CI75">
        <v>142</v>
      </c>
      <c r="CJ75" s="7">
        <v>158</v>
      </c>
    </row>
    <row r="76" spans="1:88" x14ac:dyDescent="0.25">
      <c r="A76" s="1" t="s">
        <v>502</v>
      </c>
      <c r="C76">
        <v>0</v>
      </c>
      <c r="Y76" s="41" t="s">
        <v>77</v>
      </c>
      <c r="BC76" s="60" t="s">
        <v>77</v>
      </c>
      <c r="BN76">
        <v>0</v>
      </c>
      <c r="BZ76" s="41">
        <v>0</v>
      </c>
      <c r="CA76">
        <v>1</v>
      </c>
      <c r="CB76">
        <v>1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1</v>
      </c>
      <c r="CI76">
        <v>0</v>
      </c>
      <c r="CJ76" s="7">
        <v>1</v>
      </c>
    </row>
    <row r="77" spans="1:88" x14ac:dyDescent="0.25">
      <c r="A77" t="s">
        <v>194</v>
      </c>
      <c r="B77" t="s">
        <v>149</v>
      </c>
      <c r="C77">
        <v>164</v>
      </c>
      <c r="P77" s="1"/>
      <c r="Y77" s="41" t="s">
        <v>77</v>
      </c>
      <c r="BC77" s="60" t="s">
        <v>77</v>
      </c>
      <c r="BZ77" s="41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164</v>
      </c>
      <c r="CH77">
        <v>0</v>
      </c>
      <c r="CI77">
        <v>164</v>
      </c>
      <c r="CJ77" s="7">
        <v>164</v>
      </c>
    </row>
    <row r="78" spans="1:88" x14ac:dyDescent="0.25">
      <c r="A78" t="s">
        <v>350</v>
      </c>
      <c r="C78">
        <v>25</v>
      </c>
      <c r="Y78" s="41" t="s">
        <v>77</v>
      </c>
      <c r="BC78" s="60" t="s">
        <v>77</v>
      </c>
      <c r="BO78">
        <v>0</v>
      </c>
      <c r="BR78">
        <v>0</v>
      </c>
      <c r="BS78">
        <v>1</v>
      </c>
      <c r="BT78">
        <v>0</v>
      </c>
      <c r="BZ78" s="41">
        <v>0</v>
      </c>
      <c r="CA78">
        <v>4</v>
      </c>
      <c r="CB78">
        <v>4</v>
      </c>
      <c r="CC78">
        <v>0</v>
      </c>
      <c r="CD78">
        <v>1</v>
      </c>
      <c r="CE78">
        <v>1</v>
      </c>
      <c r="CF78">
        <v>0</v>
      </c>
      <c r="CG78">
        <v>25</v>
      </c>
      <c r="CH78">
        <v>4</v>
      </c>
      <c r="CI78">
        <v>26</v>
      </c>
      <c r="CJ78" s="7">
        <v>29</v>
      </c>
    </row>
    <row r="79" spans="1:88" x14ac:dyDescent="0.25">
      <c r="A79" t="s">
        <v>273</v>
      </c>
      <c r="B79" t="s">
        <v>149</v>
      </c>
      <c r="C79">
        <v>72</v>
      </c>
      <c r="J79">
        <v>0</v>
      </c>
      <c r="P79">
        <v>0</v>
      </c>
      <c r="V79">
        <v>0</v>
      </c>
      <c r="Y79" s="41" t="s">
        <v>77</v>
      </c>
      <c r="BC79" s="60" t="s">
        <v>77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M79">
        <v>0</v>
      </c>
      <c r="BO79">
        <v>0</v>
      </c>
      <c r="BQ79">
        <v>0</v>
      </c>
      <c r="BR79">
        <v>0</v>
      </c>
      <c r="BZ79" s="41">
        <v>0</v>
      </c>
      <c r="CA79">
        <v>11</v>
      </c>
      <c r="CB79">
        <v>11</v>
      </c>
      <c r="CC79">
        <v>0</v>
      </c>
      <c r="CD79">
        <v>0</v>
      </c>
      <c r="CE79">
        <v>0</v>
      </c>
      <c r="CF79">
        <v>3</v>
      </c>
      <c r="CG79">
        <v>72</v>
      </c>
      <c r="CH79">
        <v>14</v>
      </c>
      <c r="CI79">
        <v>72</v>
      </c>
      <c r="CJ79" s="7">
        <v>86</v>
      </c>
    </row>
    <row r="80" spans="1:88" x14ac:dyDescent="0.25">
      <c r="A80" t="s">
        <v>195</v>
      </c>
      <c r="B80" t="s">
        <v>149</v>
      </c>
      <c r="C80">
        <v>205</v>
      </c>
      <c r="Y80" s="41" t="s">
        <v>77</v>
      </c>
      <c r="BC80" s="60" t="s">
        <v>77</v>
      </c>
      <c r="BZ80" s="41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205</v>
      </c>
      <c r="CH80">
        <v>0</v>
      </c>
      <c r="CI80">
        <v>205</v>
      </c>
      <c r="CJ80" s="7">
        <v>205</v>
      </c>
    </row>
    <row r="81" spans="1:88" x14ac:dyDescent="0.25">
      <c r="A81" t="s">
        <v>196</v>
      </c>
      <c r="B81" t="s">
        <v>149</v>
      </c>
      <c r="C81">
        <v>292</v>
      </c>
      <c r="F81">
        <v>1</v>
      </c>
      <c r="H81">
        <v>1</v>
      </c>
      <c r="J81">
        <v>0</v>
      </c>
      <c r="O81">
        <v>1</v>
      </c>
      <c r="T81">
        <v>0</v>
      </c>
      <c r="Y81" s="41">
        <v>0</v>
      </c>
      <c r="Z81">
        <v>2</v>
      </c>
      <c r="AA81">
        <v>0</v>
      </c>
      <c r="AC81">
        <v>2</v>
      </c>
      <c r="AD81">
        <v>1</v>
      </c>
      <c r="AE81">
        <v>1</v>
      </c>
      <c r="AF81">
        <v>1</v>
      </c>
      <c r="AG81">
        <v>0</v>
      </c>
      <c r="AH81">
        <v>1</v>
      </c>
      <c r="AI81">
        <v>0</v>
      </c>
      <c r="AJ81">
        <v>2</v>
      </c>
      <c r="AK81">
        <v>0</v>
      </c>
      <c r="AL81">
        <v>0</v>
      </c>
      <c r="AM81">
        <v>1</v>
      </c>
      <c r="AN81">
        <v>0</v>
      </c>
      <c r="AO81">
        <v>1</v>
      </c>
      <c r="AP81">
        <v>0</v>
      </c>
      <c r="AR81">
        <v>0</v>
      </c>
      <c r="AS81">
        <v>0</v>
      </c>
      <c r="AT81">
        <v>0</v>
      </c>
      <c r="AU81">
        <v>2</v>
      </c>
      <c r="AV81">
        <v>0</v>
      </c>
      <c r="AW81">
        <v>1</v>
      </c>
      <c r="AX81">
        <v>0</v>
      </c>
      <c r="AY81">
        <v>1</v>
      </c>
      <c r="AZ81">
        <v>0</v>
      </c>
      <c r="BA81">
        <v>0</v>
      </c>
      <c r="BB81">
        <v>0</v>
      </c>
      <c r="BC81" s="60" t="s">
        <v>77</v>
      </c>
      <c r="BZ81" s="41">
        <v>28</v>
      </c>
      <c r="CA81">
        <v>0</v>
      </c>
      <c r="CB81">
        <v>28</v>
      </c>
      <c r="CC81">
        <v>16</v>
      </c>
      <c r="CD81">
        <v>0</v>
      </c>
      <c r="CE81">
        <v>16</v>
      </c>
      <c r="CF81">
        <v>5</v>
      </c>
      <c r="CG81">
        <v>295</v>
      </c>
      <c r="CH81">
        <v>33</v>
      </c>
      <c r="CI81">
        <v>311</v>
      </c>
      <c r="CJ81" s="7">
        <v>325</v>
      </c>
    </row>
    <row r="82" spans="1:88" x14ac:dyDescent="0.25">
      <c r="A82" t="s">
        <v>197</v>
      </c>
      <c r="B82" t="s">
        <v>149</v>
      </c>
      <c r="C82">
        <v>130</v>
      </c>
      <c r="Y82" s="41" t="s">
        <v>77</v>
      </c>
      <c r="BC82" s="60" t="s">
        <v>77</v>
      </c>
      <c r="BZ82" s="41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130</v>
      </c>
      <c r="CH82">
        <v>0</v>
      </c>
      <c r="CI82">
        <v>130</v>
      </c>
      <c r="CJ82" s="7">
        <v>130</v>
      </c>
    </row>
    <row r="83" spans="1:88" x14ac:dyDescent="0.25">
      <c r="A83" t="s">
        <v>198</v>
      </c>
      <c r="B83" t="s">
        <v>151</v>
      </c>
      <c r="C83">
        <v>160</v>
      </c>
      <c r="Y83" s="41" t="s">
        <v>77</v>
      </c>
      <c r="BC83" s="60" t="s">
        <v>77</v>
      </c>
      <c r="BZ83" s="41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160</v>
      </c>
      <c r="CH83">
        <v>0</v>
      </c>
      <c r="CI83">
        <v>160</v>
      </c>
      <c r="CJ83" s="7">
        <v>160</v>
      </c>
    </row>
    <row r="84" spans="1:88" x14ac:dyDescent="0.25">
      <c r="A84" t="s">
        <v>199</v>
      </c>
      <c r="B84" t="s">
        <v>151</v>
      </c>
      <c r="C84">
        <v>107</v>
      </c>
      <c r="Y84" s="41" t="s">
        <v>77</v>
      </c>
      <c r="BC84" s="60" t="s">
        <v>77</v>
      </c>
      <c r="BZ84" s="41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107</v>
      </c>
      <c r="CH84">
        <v>0</v>
      </c>
      <c r="CI84">
        <v>107</v>
      </c>
      <c r="CJ84" s="7">
        <v>107</v>
      </c>
    </row>
    <row r="85" spans="1:88" x14ac:dyDescent="0.25">
      <c r="A85" t="s">
        <v>427</v>
      </c>
      <c r="C85">
        <v>11</v>
      </c>
      <c r="E85">
        <v>0</v>
      </c>
      <c r="J85">
        <v>0</v>
      </c>
      <c r="P85">
        <v>0</v>
      </c>
      <c r="V85">
        <v>0</v>
      </c>
      <c r="Y85" s="41" t="s">
        <v>77</v>
      </c>
      <c r="AS85">
        <v>0</v>
      </c>
      <c r="AZ85">
        <v>0</v>
      </c>
      <c r="BA85">
        <v>0</v>
      </c>
      <c r="BC85" s="60" t="s">
        <v>77</v>
      </c>
      <c r="BD85">
        <v>1</v>
      </c>
      <c r="BG85">
        <v>0</v>
      </c>
      <c r="BH85">
        <v>1</v>
      </c>
      <c r="BI85">
        <v>0</v>
      </c>
      <c r="BJ85">
        <v>0</v>
      </c>
      <c r="BL85">
        <v>0</v>
      </c>
      <c r="BM85">
        <v>0</v>
      </c>
      <c r="BN85">
        <v>0</v>
      </c>
      <c r="BO85">
        <v>0</v>
      </c>
      <c r="BP85">
        <v>1</v>
      </c>
      <c r="BQ85">
        <v>2</v>
      </c>
      <c r="BS85">
        <v>2</v>
      </c>
      <c r="BT85">
        <v>0</v>
      </c>
      <c r="BU85">
        <v>1</v>
      </c>
      <c r="BV85">
        <v>0</v>
      </c>
      <c r="BW85">
        <v>1</v>
      </c>
      <c r="BX85">
        <v>1</v>
      </c>
      <c r="BY85">
        <v>0</v>
      </c>
      <c r="BZ85" s="41">
        <v>3</v>
      </c>
      <c r="CA85">
        <v>18</v>
      </c>
      <c r="CB85">
        <v>21</v>
      </c>
      <c r="CC85">
        <v>0</v>
      </c>
      <c r="CD85">
        <v>10</v>
      </c>
      <c r="CE85">
        <v>10</v>
      </c>
      <c r="CF85">
        <v>4</v>
      </c>
      <c r="CG85">
        <v>11</v>
      </c>
      <c r="CH85">
        <v>25</v>
      </c>
      <c r="CI85">
        <v>21</v>
      </c>
      <c r="CJ85" s="7">
        <v>36</v>
      </c>
    </row>
    <row r="86" spans="1:88" x14ac:dyDescent="0.25">
      <c r="A86" t="s">
        <v>200</v>
      </c>
      <c r="B86" t="s">
        <v>149</v>
      </c>
      <c r="C86">
        <v>134</v>
      </c>
      <c r="J86">
        <v>0</v>
      </c>
      <c r="P86">
        <v>0</v>
      </c>
      <c r="V86">
        <v>0</v>
      </c>
      <c r="Y86" s="41" t="s">
        <v>77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R86">
        <v>0</v>
      </c>
      <c r="AS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C86" s="60" t="s">
        <v>77</v>
      </c>
      <c r="BD86">
        <v>0</v>
      </c>
      <c r="BE86">
        <v>2</v>
      </c>
      <c r="BF86">
        <v>0</v>
      </c>
      <c r="BG86">
        <v>0</v>
      </c>
      <c r="BH86">
        <v>0</v>
      </c>
      <c r="BI86">
        <v>1</v>
      </c>
      <c r="BM86">
        <v>0</v>
      </c>
      <c r="BR86">
        <v>0</v>
      </c>
      <c r="BZ86" s="41">
        <v>16</v>
      </c>
      <c r="CA86">
        <v>8</v>
      </c>
      <c r="CB86">
        <v>24</v>
      </c>
      <c r="CC86">
        <v>0</v>
      </c>
      <c r="CD86">
        <v>3</v>
      </c>
      <c r="CE86">
        <v>3</v>
      </c>
      <c r="CF86">
        <v>3</v>
      </c>
      <c r="CG86">
        <v>134</v>
      </c>
      <c r="CH86">
        <v>27</v>
      </c>
      <c r="CI86">
        <v>137</v>
      </c>
      <c r="CJ86" s="7">
        <v>161</v>
      </c>
    </row>
    <row r="87" spans="1:88" x14ac:dyDescent="0.25">
      <c r="A87" t="s">
        <v>351</v>
      </c>
      <c r="B87" t="s">
        <v>149</v>
      </c>
      <c r="C87">
        <v>57</v>
      </c>
      <c r="E87">
        <v>0</v>
      </c>
      <c r="F87">
        <v>1</v>
      </c>
      <c r="H87">
        <v>0</v>
      </c>
      <c r="J87" s="1">
        <v>0</v>
      </c>
      <c r="P87">
        <v>0</v>
      </c>
      <c r="T87">
        <v>1</v>
      </c>
      <c r="Y87" s="41" t="s">
        <v>77</v>
      </c>
      <c r="AA87">
        <v>0</v>
      </c>
      <c r="AC87">
        <v>0</v>
      </c>
      <c r="AD87">
        <v>0</v>
      </c>
      <c r="AE87">
        <v>0</v>
      </c>
      <c r="AF87">
        <v>0</v>
      </c>
      <c r="AH87">
        <v>0</v>
      </c>
      <c r="AI87">
        <v>0</v>
      </c>
      <c r="AJ87">
        <v>0</v>
      </c>
      <c r="AK87">
        <v>0</v>
      </c>
      <c r="AM87">
        <v>0</v>
      </c>
      <c r="AN87">
        <v>0</v>
      </c>
      <c r="AP87">
        <v>1</v>
      </c>
      <c r="AS87">
        <v>1</v>
      </c>
      <c r="AT87">
        <v>0</v>
      </c>
      <c r="AU87">
        <v>0</v>
      </c>
      <c r="AV87">
        <v>1</v>
      </c>
      <c r="AW87">
        <v>0</v>
      </c>
      <c r="BC87" s="60" t="s">
        <v>77</v>
      </c>
      <c r="BU87">
        <v>0</v>
      </c>
      <c r="BZ87" s="41">
        <v>17</v>
      </c>
      <c r="CA87">
        <v>1</v>
      </c>
      <c r="CB87">
        <v>18</v>
      </c>
      <c r="CC87">
        <v>3</v>
      </c>
      <c r="CD87">
        <v>0</v>
      </c>
      <c r="CE87">
        <v>3</v>
      </c>
      <c r="CF87">
        <v>6</v>
      </c>
      <c r="CG87">
        <v>59</v>
      </c>
      <c r="CH87">
        <v>24</v>
      </c>
      <c r="CI87">
        <v>62</v>
      </c>
      <c r="CJ87" s="7">
        <v>81</v>
      </c>
    </row>
    <row r="88" spans="1:88" x14ac:dyDescent="0.25">
      <c r="A88" t="s">
        <v>352</v>
      </c>
      <c r="B88" t="s">
        <v>151</v>
      </c>
      <c r="C88">
        <v>66</v>
      </c>
      <c r="Y88" s="41">
        <v>0</v>
      </c>
      <c r="Z88">
        <v>0</v>
      </c>
      <c r="BC88" s="60" t="s">
        <v>77</v>
      </c>
      <c r="BE88">
        <v>1</v>
      </c>
      <c r="BG88">
        <v>1</v>
      </c>
      <c r="BJ88">
        <v>0</v>
      </c>
      <c r="BT88">
        <v>0</v>
      </c>
      <c r="BV88">
        <v>0</v>
      </c>
      <c r="BX88">
        <v>0</v>
      </c>
      <c r="BZ88" s="41">
        <v>2</v>
      </c>
      <c r="CA88">
        <v>6</v>
      </c>
      <c r="CB88">
        <v>8</v>
      </c>
      <c r="CC88">
        <v>0</v>
      </c>
      <c r="CD88">
        <v>2</v>
      </c>
      <c r="CE88">
        <v>2</v>
      </c>
      <c r="CF88">
        <v>0</v>
      </c>
      <c r="CG88">
        <v>66</v>
      </c>
      <c r="CH88">
        <v>8</v>
      </c>
      <c r="CI88">
        <v>68</v>
      </c>
      <c r="CJ88" s="7">
        <v>74</v>
      </c>
    </row>
    <row r="89" spans="1:88" x14ac:dyDescent="0.25">
      <c r="A89" t="s">
        <v>201</v>
      </c>
      <c r="B89" t="s">
        <v>151</v>
      </c>
      <c r="C89">
        <v>117</v>
      </c>
      <c r="E89">
        <v>0</v>
      </c>
      <c r="F89">
        <v>0</v>
      </c>
      <c r="H89">
        <v>0</v>
      </c>
      <c r="O89" s="1">
        <v>0</v>
      </c>
      <c r="T89">
        <v>0</v>
      </c>
      <c r="Y89" s="41">
        <v>0</v>
      </c>
      <c r="Z89">
        <v>0</v>
      </c>
      <c r="AA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O89">
        <v>0</v>
      </c>
      <c r="AP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1</v>
      </c>
      <c r="AZ89">
        <v>0</v>
      </c>
      <c r="BA89">
        <v>0</v>
      </c>
      <c r="BB89">
        <v>0</v>
      </c>
      <c r="BC89" s="60" t="s">
        <v>77</v>
      </c>
      <c r="BZ89" s="41">
        <v>25</v>
      </c>
      <c r="CA89">
        <v>0</v>
      </c>
      <c r="CB89">
        <v>25</v>
      </c>
      <c r="CC89">
        <v>1</v>
      </c>
      <c r="CD89">
        <v>0</v>
      </c>
      <c r="CE89">
        <v>1</v>
      </c>
      <c r="CF89">
        <v>5</v>
      </c>
      <c r="CG89">
        <v>117</v>
      </c>
      <c r="CH89">
        <v>30</v>
      </c>
      <c r="CI89">
        <v>118</v>
      </c>
      <c r="CJ89" s="7">
        <v>147</v>
      </c>
    </row>
    <row r="90" spans="1:88" x14ac:dyDescent="0.25">
      <c r="A90" s="1" t="s">
        <v>503</v>
      </c>
      <c r="C90" s="1" t="s">
        <v>504</v>
      </c>
      <c r="O90" s="1"/>
      <c r="Y90" s="41" t="s">
        <v>77</v>
      </c>
      <c r="BC90" s="60" t="s">
        <v>77</v>
      </c>
      <c r="BY90">
        <v>0</v>
      </c>
      <c r="BZ90" s="41">
        <v>0</v>
      </c>
      <c r="CA90">
        <v>1</v>
      </c>
      <c r="CB90">
        <v>1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1</v>
      </c>
      <c r="CI90">
        <v>0</v>
      </c>
      <c r="CJ90" s="7" t="e">
        <v>#VALUE!</v>
      </c>
    </row>
    <row r="91" spans="1:88" x14ac:dyDescent="0.25">
      <c r="A91" t="s">
        <v>202</v>
      </c>
      <c r="B91" t="s">
        <v>151</v>
      </c>
      <c r="C91">
        <v>82</v>
      </c>
      <c r="Y91" s="41" t="s">
        <v>77</v>
      </c>
      <c r="BC91" s="60" t="s">
        <v>77</v>
      </c>
      <c r="BZ91" s="4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82</v>
      </c>
      <c r="CH91">
        <v>0</v>
      </c>
      <c r="CI91">
        <v>82</v>
      </c>
      <c r="CJ91" s="7">
        <v>82</v>
      </c>
    </row>
    <row r="92" spans="1:88" x14ac:dyDescent="0.25">
      <c r="Y92" s="41" t="s">
        <v>77</v>
      </c>
      <c r="BC92" s="60" t="s">
        <v>77</v>
      </c>
      <c r="BZ92" s="41" t="s">
        <v>77</v>
      </c>
    </row>
    <row r="93" spans="1:88" x14ac:dyDescent="0.25">
      <c r="A93" s="10" t="s">
        <v>203</v>
      </c>
      <c r="B93" s="10" t="s">
        <v>77</v>
      </c>
      <c r="C93" s="11" t="s">
        <v>77</v>
      </c>
      <c r="D93" s="10">
        <v>0</v>
      </c>
      <c r="E93" s="10">
        <v>19</v>
      </c>
      <c r="F93" s="10">
        <v>17</v>
      </c>
      <c r="G93" s="10">
        <v>0</v>
      </c>
      <c r="H93" s="10">
        <v>16</v>
      </c>
      <c r="I93" s="10" t="s">
        <v>77</v>
      </c>
      <c r="J93" s="10" t="s">
        <v>77</v>
      </c>
      <c r="K93" s="10" t="s">
        <v>77</v>
      </c>
      <c r="L93" s="10" t="s">
        <v>77</v>
      </c>
      <c r="M93" s="10" t="s">
        <v>77</v>
      </c>
      <c r="N93" s="10">
        <v>0</v>
      </c>
      <c r="O93" s="10">
        <v>15</v>
      </c>
      <c r="P93" s="10" t="s">
        <v>77</v>
      </c>
      <c r="Q93" s="10">
        <v>0</v>
      </c>
      <c r="R93" s="10">
        <v>0</v>
      </c>
      <c r="S93" s="10">
        <v>0</v>
      </c>
      <c r="T93" s="10">
        <v>14</v>
      </c>
      <c r="U93" s="10">
        <v>0</v>
      </c>
      <c r="V93" s="10" t="s">
        <v>77</v>
      </c>
      <c r="W93" s="10">
        <v>0</v>
      </c>
      <c r="X93" s="11" t="s">
        <v>77</v>
      </c>
      <c r="Y93" s="10">
        <v>14</v>
      </c>
      <c r="Z93" s="10">
        <v>14</v>
      </c>
      <c r="AA93" s="10">
        <v>13</v>
      </c>
      <c r="AB93" s="10">
        <v>0</v>
      </c>
      <c r="AC93" s="10">
        <v>15</v>
      </c>
      <c r="AD93" s="10">
        <v>14</v>
      </c>
      <c r="AE93" s="10">
        <v>14</v>
      </c>
      <c r="AF93" s="10">
        <v>14</v>
      </c>
      <c r="AG93" s="10">
        <v>13</v>
      </c>
      <c r="AH93" s="10">
        <v>13</v>
      </c>
      <c r="AI93" s="10">
        <v>14</v>
      </c>
      <c r="AJ93" s="10">
        <v>14</v>
      </c>
      <c r="AK93" s="10">
        <v>14</v>
      </c>
      <c r="AL93" s="10">
        <v>15</v>
      </c>
      <c r="AM93" s="10">
        <v>14</v>
      </c>
      <c r="AN93" s="10">
        <v>13</v>
      </c>
      <c r="AO93" s="10">
        <v>14</v>
      </c>
      <c r="AP93" s="10">
        <v>13</v>
      </c>
      <c r="AQ93" s="10">
        <v>0</v>
      </c>
      <c r="AR93" s="10">
        <v>13</v>
      </c>
      <c r="AS93" s="10">
        <v>14</v>
      </c>
      <c r="AT93" s="10">
        <v>13</v>
      </c>
      <c r="AU93" s="10">
        <v>15</v>
      </c>
      <c r="AV93" s="10">
        <v>14</v>
      </c>
      <c r="AW93" s="10">
        <v>15</v>
      </c>
      <c r="AX93" s="10">
        <v>12</v>
      </c>
      <c r="AY93" s="10">
        <v>13</v>
      </c>
      <c r="AZ93" s="10">
        <v>15</v>
      </c>
      <c r="BA93" s="10">
        <v>14</v>
      </c>
      <c r="BB93" s="10">
        <v>13</v>
      </c>
      <c r="BC93" s="70">
        <v>0</v>
      </c>
      <c r="BD93" s="10">
        <v>14</v>
      </c>
      <c r="BE93" s="10">
        <v>15</v>
      </c>
      <c r="BF93" s="10">
        <v>14</v>
      </c>
      <c r="BG93" s="10">
        <v>14</v>
      </c>
      <c r="BH93" s="10">
        <v>15</v>
      </c>
      <c r="BI93" s="10">
        <v>15</v>
      </c>
      <c r="BJ93" s="10">
        <v>15</v>
      </c>
      <c r="BK93" s="10">
        <v>12</v>
      </c>
      <c r="BL93" s="10">
        <v>14</v>
      </c>
      <c r="BM93" s="10">
        <v>15</v>
      </c>
      <c r="BN93" s="10">
        <v>13</v>
      </c>
      <c r="BO93" s="10">
        <v>14</v>
      </c>
      <c r="BP93" s="10">
        <v>15</v>
      </c>
      <c r="BQ93" s="10">
        <v>15</v>
      </c>
      <c r="BR93" s="10">
        <v>14</v>
      </c>
      <c r="BS93" s="10">
        <v>15</v>
      </c>
      <c r="BT93" s="10">
        <v>14</v>
      </c>
      <c r="BU93" s="10">
        <v>15</v>
      </c>
      <c r="BV93" s="10">
        <v>13</v>
      </c>
      <c r="BW93" s="10" t="s">
        <v>77</v>
      </c>
      <c r="BX93" s="10" t="s">
        <v>77</v>
      </c>
      <c r="BY93" s="10">
        <v>12</v>
      </c>
      <c r="BZ93" s="47" t="s">
        <v>77</v>
      </c>
      <c r="CA93" s="10" t="s">
        <v>77</v>
      </c>
      <c r="CB93" s="10" t="s">
        <v>77</v>
      </c>
      <c r="CC93" s="10" t="s">
        <v>77</v>
      </c>
      <c r="CD93" s="10" t="s">
        <v>77</v>
      </c>
      <c r="CE93" s="10" t="s">
        <v>77</v>
      </c>
      <c r="CF93" s="10" t="s">
        <v>77</v>
      </c>
      <c r="CG93" s="10" t="s">
        <v>77</v>
      </c>
      <c r="CH93" s="10" t="s">
        <v>77</v>
      </c>
      <c r="CI93" s="10" t="s">
        <v>77</v>
      </c>
      <c r="CJ93" s="10" t="s">
        <v>77</v>
      </c>
    </row>
    <row r="94" spans="1:88" x14ac:dyDescent="0.25">
      <c r="A94" s="8" t="s">
        <v>204</v>
      </c>
      <c r="B94" s="8" t="s">
        <v>77</v>
      </c>
      <c r="C94" s="9" t="s">
        <v>77</v>
      </c>
      <c r="D94" s="8">
        <v>0</v>
      </c>
      <c r="E94" s="8">
        <v>0</v>
      </c>
      <c r="F94" s="8">
        <v>4</v>
      </c>
      <c r="G94" s="8">
        <v>3</v>
      </c>
      <c r="H94" s="8">
        <v>0</v>
      </c>
      <c r="I94" s="8" t="s">
        <v>77</v>
      </c>
      <c r="J94" s="8" t="s">
        <v>77</v>
      </c>
      <c r="K94" s="8" t="s">
        <v>77</v>
      </c>
      <c r="L94" s="8" t="s">
        <v>77</v>
      </c>
      <c r="M94" s="8" t="s">
        <v>77</v>
      </c>
      <c r="N94" s="8">
        <v>3</v>
      </c>
      <c r="O94" s="8">
        <v>0</v>
      </c>
      <c r="P94" s="8" t="s">
        <v>77</v>
      </c>
      <c r="Q94" s="8">
        <v>0</v>
      </c>
      <c r="R94" s="8">
        <v>0</v>
      </c>
      <c r="S94" s="8">
        <v>0</v>
      </c>
      <c r="T94" s="8">
        <v>3</v>
      </c>
      <c r="U94" s="8">
        <v>0</v>
      </c>
      <c r="V94" s="8" t="s">
        <v>77</v>
      </c>
      <c r="W94" s="8">
        <v>0</v>
      </c>
      <c r="X94" s="8" t="s">
        <v>77</v>
      </c>
      <c r="Y94" s="48">
        <v>0</v>
      </c>
      <c r="Z94" s="8">
        <v>2</v>
      </c>
      <c r="AA94" s="8">
        <v>0</v>
      </c>
      <c r="AB94" s="8">
        <v>0</v>
      </c>
      <c r="AC94" s="8">
        <v>3</v>
      </c>
      <c r="AD94" s="8">
        <v>2</v>
      </c>
      <c r="AE94" s="8">
        <v>2</v>
      </c>
      <c r="AF94" s="8">
        <v>3</v>
      </c>
      <c r="AG94" s="8">
        <v>1</v>
      </c>
      <c r="AH94" s="8">
        <v>2</v>
      </c>
      <c r="AI94" s="8">
        <v>1</v>
      </c>
      <c r="AJ94" s="8">
        <v>2</v>
      </c>
      <c r="AK94" s="8">
        <v>3</v>
      </c>
      <c r="AL94" s="8">
        <v>3</v>
      </c>
      <c r="AM94" s="8">
        <v>2</v>
      </c>
      <c r="AN94" s="8">
        <v>1</v>
      </c>
      <c r="AO94" s="8">
        <v>1</v>
      </c>
      <c r="AP94" s="8">
        <v>3</v>
      </c>
      <c r="AQ94" s="8">
        <v>0</v>
      </c>
      <c r="AR94" s="8">
        <v>1</v>
      </c>
      <c r="AS94" s="8">
        <v>1</v>
      </c>
      <c r="AT94" s="8">
        <v>0</v>
      </c>
      <c r="AU94" s="8">
        <v>2</v>
      </c>
      <c r="AV94" s="8">
        <v>4</v>
      </c>
      <c r="AW94" s="8">
        <v>5</v>
      </c>
      <c r="AX94" s="8">
        <v>0</v>
      </c>
      <c r="AY94" s="8">
        <v>3</v>
      </c>
      <c r="AZ94" s="8" t="s">
        <v>77</v>
      </c>
      <c r="BA94" s="8" t="s">
        <v>77</v>
      </c>
      <c r="BB94" s="8" t="s">
        <v>77</v>
      </c>
      <c r="BC94" s="71">
        <v>0</v>
      </c>
      <c r="BD94" s="8">
        <v>7</v>
      </c>
      <c r="BE94" s="8">
        <v>9</v>
      </c>
      <c r="BF94" s="8">
        <v>2</v>
      </c>
      <c r="BG94" s="8">
        <v>2</v>
      </c>
      <c r="BH94" s="8">
        <v>6</v>
      </c>
      <c r="BI94" s="8">
        <v>3</v>
      </c>
      <c r="BJ94" s="8">
        <v>3</v>
      </c>
      <c r="BK94" s="8">
        <v>8</v>
      </c>
      <c r="BL94" s="8">
        <v>0</v>
      </c>
      <c r="BM94" s="8">
        <v>1</v>
      </c>
      <c r="BN94" s="8">
        <v>0</v>
      </c>
      <c r="BO94" s="8">
        <v>1</v>
      </c>
      <c r="BP94" s="8">
        <v>1</v>
      </c>
      <c r="BQ94" s="8">
        <v>6</v>
      </c>
      <c r="BR94" s="8">
        <v>1</v>
      </c>
      <c r="BS94" s="8">
        <v>6</v>
      </c>
      <c r="BT94" s="8">
        <v>1</v>
      </c>
      <c r="BU94" s="8">
        <v>2</v>
      </c>
      <c r="BV94" s="8">
        <v>6</v>
      </c>
      <c r="BW94" s="8" t="s">
        <v>77</v>
      </c>
      <c r="BX94" s="8" t="s">
        <v>77</v>
      </c>
      <c r="BY94" s="8">
        <v>0</v>
      </c>
      <c r="BZ94" s="48" t="s">
        <v>77</v>
      </c>
      <c r="CA94" s="8" t="s">
        <v>77</v>
      </c>
      <c r="CB94" s="8" t="s">
        <v>77</v>
      </c>
      <c r="CC94" s="8">
        <v>47</v>
      </c>
      <c r="CD94" s="8">
        <v>75</v>
      </c>
      <c r="CE94" s="8">
        <v>118</v>
      </c>
      <c r="CF94" s="8" t="s">
        <v>77</v>
      </c>
      <c r="CG94" s="8">
        <v>11260</v>
      </c>
      <c r="CH94" s="8" t="s">
        <v>77</v>
      </c>
      <c r="CI94" s="8">
        <v>11378</v>
      </c>
      <c r="CJ94" s="8" t="s">
        <v>77</v>
      </c>
    </row>
    <row r="97" spans="1:80" x14ac:dyDescent="0.25">
      <c r="A97" t="s">
        <v>205</v>
      </c>
    </row>
    <row r="98" spans="1:80" x14ac:dyDescent="0.25">
      <c r="CB98" s="1" t="s">
        <v>205</v>
      </c>
    </row>
  </sheetData>
  <mergeCells count="8">
    <mergeCell ref="E1:CJ1"/>
    <mergeCell ref="D2:S2"/>
    <mergeCell ref="A2:A4"/>
    <mergeCell ref="T2:X2"/>
    <mergeCell ref="C2:C4"/>
    <mergeCell ref="BZ2:CJ2"/>
    <mergeCell ref="Y2:BY2"/>
    <mergeCell ref="B2:B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1">
    <pageSetUpPr fitToPage="1"/>
  </sheetPr>
  <dimension ref="A1:G60"/>
  <sheetViews>
    <sheetView view="pageBreakPreview" zoomScale="70" zoomScaleNormal="25" zoomScaleSheetLayoutView="70" workbookViewId="0">
      <pane xSplit="3" ySplit="2" topLeftCell="D3" activePane="bottomRight" state="frozen"/>
      <selection pane="topRight" activeCell="C1" sqref="C1"/>
      <selection pane="bottomLeft" activeCell="A7" sqref="A7"/>
      <selection pane="bottomRight" activeCell="C1" sqref="C1"/>
    </sheetView>
  </sheetViews>
  <sheetFormatPr baseColWidth="10" defaultColWidth="9.109375" defaultRowHeight="13.2" x14ac:dyDescent="0.25"/>
  <cols>
    <col min="1" max="1" width="18.44140625" customWidth="1"/>
    <col min="2" max="2" width="4.109375" customWidth="1"/>
    <col min="3" max="3" width="5.44140625" customWidth="1"/>
    <col min="4" max="6" width="10.6640625" customWidth="1"/>
    <col min="7" max="7" width="35.44140625" customWidth="1"/>
    <col min="8" max="8" width="5.88671875" bestFit="1" customWidth="1"/>
    <col min="9" max="9" width="5.88671875" customWidth="1"/>
    <col min="10" max="10" width="5.44140625" bestFit="1" customWidth="1"/>
  </cols>
  <sheetData>
    <row r="1" spans="1:7" ht="36.75" customHeight="1" x14ac:dyDescent="0.6">
      <c r="E1" s="100" t="s">
        <v>505</v>
      </c>
      <c r="F1" s="92"/>
      <c r="G1" s="92"/>
    </row>
    <row r="2" spans="1:7" ht="79.5" customHeight="1" x14ac:dyDescent="0.25">
      <c r="A2" s="8"/>
      <c r="B2" s="8"/>
      <c r="C2" s="9"/>
      <c r="D2" s="2" t="s">
        <v>6</v>
      </c>
      <c r="E2" s="2" t="s">
        <v>72</v>
      </c>
      <c r="F2" s="2" t="s">
        <v>71</v>
      </c>
      <c r="G2" s="6" t="s">
        <v>147</v>
      </c>
    </row>
    <row r="3" spans="1:7" ht="12.75" customHeight="1" x14ac:dyDescent="0.25">
      <c r="A3" s="1" t="s">
        <v>14</v>
      </c>
      <c r="C3">
        <v>42</v>
      </c>
      <c r="D3" s="3">
        <v>7</v>
      </c>
      <c r="E3" s="3">
        <v>1</v>
      </c>
      <c r="F3" s="3">
        <v>2</v>
      </c>
      <c r="G3" s="7">
        <f t="shared" ref="G3:G34" si="0">C3+D3+E3+F3</f>
        <v>52</v>
      </c>
    </row>
    <row r="4" spans="1:7" ht="12.75" customHeight="1" x14ac:dyDescent="0.25">
      <c r="A4" s="1" t="s">
        <v>506</v>
      </c>
      <c r="C4">
        <v>0</v>
      </c>
      <c r="D4" s="3">
        <v>20</v>
      </c>
      <c r="E4" s="3">
        <v>1</v>
      </c>
      <c r="F4" s="3">
        <v>4</v>
      </c>
      <c r="G4" s="7">
        <f t="shared" si="0"/>
        <v>25</v>
      </c>
    </row>
    <row r="5" spans="1:7" ht="12.75" customHeight="1" x14ac:dyDescent="0.25">
      <c r="A5" s="1" t="s">
        <v>13</v>
      </c>
      <c r="C5">
        <v>0</v>
      </c>
      <c r="D5" s="3">
        <v>14</v>
      </c>
      <c r="E5" s="3">
        <v>1</v>
      </c>
      <c r="F5" s="3">
        <v>2</v>
      </c>
      <c r="G5" s="7">
        <f t="shared" si="0"/>
        <v>17</v>
      </c>
    </row>
    <row r="6" spans="1:7" ht="12.75" customHeight="1" x14ac:dyDescent="0.25">
      <c r="A6" s="1" t="s">
        <v>17</v>
      </c>
      <c r="C6">
        <v>17</v>
      </c>
      <c r="D6" s="3">
        <v>14</v>
      </c>
      <c r="E6" s="3">
        <v>1</v>
      </c>
      <c r="F6" s="3">
        <v>3</v>
      </c>
      <c r="G6" s="7">
        <f t="shared" si="0"/>
        <v>35</v>
      </c>
    </row>
    <row r="7" spans="1:7" ht="12.75" customHeight="1" x14ac:dyDescent="0.25">
      <c r="A7" t="s">
        <v>20</v>
      </c>
      <c r="B7" t="s">
        <v>151</v>
      </c>
      <c r="C7">
        <v>113</v>
      </c>
      <c r="D7" s="3">
        <v>18</v>
      </c>
      <c r="E7" s="3">
        <v>3</v>
      </c>
      <c r="F7" s="3">
        <v>4</v>
      </c>
      <c r="G7" s="7">
        <f t="shared" si="0"/>
        <v>138</v>
      </c>
    </row>
    <row r="8" spans="1:7" ht="12.75" customHeight="1" x14ac:dyDescent="0.25">
      <c r="A8" t="s">
        <v>155</v>
      </c>
      <c r="B8" t="s">
        <v>149</v>
      </c>
      <c r="C8">
        <v>208</v>
      </c>
      <c r="D8" s="3">
        <v>19</v>
      </c>
      <c r="E8" s="3">
        <v>1</v>
      </c>
      <c r="F8" s="3">
        <v>6</v>
      </c>
      <c r="G8" s="7">
        <f t="shared" si="0"/>
        <v>234</v>
      </c>
    </row>
    <row r="9" spans="1:7" x14ac:dyDescent="0.25">
      <c r="A9" t="s">
        <v>156</v>
      </c>
      <c r="B9" t="s">
        <v>149</v>
      </c>
      <c r="C9">
        <v>515</v>
      </c>
      <c r="D9" s="3">
        <v>13</v>
      </c>
      <c r="E9" s="3"/>
      <c r="F9" s="3">
        <v>2</v>
      </c>
      <c r="G9" s="7">
        <f t="shared" si="0"/>
        <v>530</v>
      </c>
    </row>
    <row r="10" spans="1:7" x14ac:dyDescent="0.25">
      <c r="A10" t="s">
        <v>507</v>
      </c>
      <c r="C10">
        <v>18</v>
      </c>
      <c r="D10" s="3">
        <v>28</v>
      </c>
      <c r="E10" s="3">
        <v>2</v>
      </c>
      <c r="F10" s="3">
        <v>8</v>
      </c>
      <c r="G10" s="7">
        <f t="shared" si="0"/>
        <v>56</v>
      </c>
    </row>
    <row r="11" spans="1:7" s="4" customFormat="1" ht="12.75" customHeight="1" x14ac:dyDescent="0.25">
      <c r="A11" s="4" t="s">
        <v>159</v>
      </c>
      <c r="B11" s="4" t="s">
        <v>151</v>
      </c>
      <c r="C11" s="4">
        <v>225</v>
      </c>
      <c r="D11" s="12">
        <v>24</v>
      </c>
      <c r="E11" s="12">
        <v>3</v>
      </c>
      <c r="F11" s="12">
        <v>8</v>
      </c>
      <c r="G11" s="5">
        <f t="shared" si="0"/>
        <v>260</v>
      </c>
    </row>
    <row r="12" spans="1:7" s="4" customFormat="1" x14ac:dyDescent="0.25">
      <c r="A12" t="s">
        <v>161</v>
      </c>
      <c r="B12" t="s">
        <v>151</v>
      </c>
      <c r="C12">
        <v>354</v>
      </c>
      <c r="D12" s="3">
        <v>19</v>
      </c>
      <c r="E12" s="3">
        <v>2</v>
      </c>
      <c r="F12" s="3">
        <v>8</v>
      </c>
      <c r="G12" s="7">
        <f t="shared" si="0"/>
        <v>383</v>
      </c>
    </row>
    <row r="13" spans="1:7" x14ac:dyDescent="0.25">
      <c r="A13" t="s">
        <v>496</v>
      </c>
      <c r="C13">
        <v>92</v>
      </c>
      <c r="D13" s="3">
        <v>1</v>
      </c>
      <c r="E13" s="3">
        <v>1</v>
      </c>
      <c r="F13" s="3">
        <v>3</v>
      </c>
      <c r="G13" s="7">
        <f t="shared" si="0"/>
        <v>97</v>
      </c>
    </row>
    <row r="14" spans="1:7" x14ac:dyDescent="0.25">
      <c r="A14" t="s">
        <v>508</v>
      </c>
      <c r="C14">
        <v>0</v>
      </c>
      <c r="D14" s="3">
        <v>28</v>
      </c>
      <c r="E14" s="3">
        <v>3</v>
      </c>
      <c r="F14" s="3">
        <v>7</v>
      </c>
      <c r="G14" s="7">
        <f t="shared" si="0"/>
        <v>38</v>
      </c>
    </row>
    <row r="15" spans="1:7" x14ac:dyDescent="0.25">
      <c r="A15" t="s">
        <v>509</v>
      </c>
      <c r="C15">
        <v>81</v>
      </c>
      <c r="D15" s="3">
        <v>20</v>
      </c>
      <c r="E15" s="3">
        <v>1</v>
      </c>
      <c r="F15" s="3">
        <v>10</v>
      </c>
      <c r="G15" s="7">
        <f t="shared" si="0"/>
        <v>112</v>
      </c>
    </row>
    <row r="16" spans="1:7" s="4" customFormat="1" x14ac:dyDescent="0.25">
      <c r="A16" t="s">
        <v>165</v>
      </c>
      <c r="B16" t="s">
        <v>149</v>
      </c>
      <c r="C16">
        <v>257</v>
      </c>
      <c r="D16" s="3">
        <v>24</v>
      </c>
      <c r="E16" s="3">
        <v>1</v>
      </c>
      <c r="F16" s="3">
        <v>1</v>
      </c>
      <c r="G16" s="7">
        <f t="shared" si="0"/>
        <v>283</v>
      </c>
    </row>
    <row r="17" spans="1:7" s="4" customFormat="1" x14ac:dyDescent="0.25">
      <c r="A17" s="4" t="s">
        <v>168</v>
      </c>
      <c r="B17" s="4" t="s">
        <v>151</v>
      </c>
      <c r="C17" s="4">
        <v>289</v>
      </c>
      <c r="D17" s="12">
        <v>13</v>
      </c>
      <c r="E17" s="12">
        <v>1</v>
      </c>
      <c r="F17" s="12">
        <v>5</v>
      </c>
      <c r="G17" s="5">
        <f t="shared" si="0"/>
        <v>308</v>
      </c>
    </row>
    <row r="18" spans="1:7" x14ac:dyDescent="0.25">
      <c r="A18" s="1" t="s">
        <v>344</v>
      </c>
      <c r="B18" s="1" t="s">
        <v>149</v>
      </c>
      <c r="C18">
        <v>108</v>
      </c>
      <c r="D18" s="3">
        <v>14</v>
      </c>
      <c r="E18" s="3">
        <v>1</v>
      </c>
      <c r="F18" s="3">
        <v>10</v>
      </c>
      <c r="G18" s="7">
        <f t="shared" si="0"/>
        <v>133</v>
      </c>
    </row>
    <row r="19" spans="1:7" x14ac:dyDescent="0.25">
      <c r="A19" s="1" t="s">
        <v>510</v>
      </c>
      <c r="B19" s="1"/>
      <c r="C19">
        <v>66</v>
      </c>
      <c r="D19" s="3">
        <v>24</v>
      </c>
      <c r="E19" s="3">
        <v>3</v>
      </c>
      <c r="F19" s="3">
        <v>9</v>
      </c>
      <c r="G19" s="7">
        <f t="shared" si="0"/>
        <v>102</v>
      </c>
    </row>
    <row r="20" spans="1:7" x14ac:dyDescent="0.25">
      <c r="A20" s="1" t="s">
        <v>511</v>
      </c>
      <c r="B20" s="1"/>
      <c r="C20">
        <v>34</v>
      </c>
      <c r="D20" s="3"/>
      <c r="E20" s="3">
        <v>2</v>
      </c>
      <c r="F20" s="3">
        <v>3</v>
      </c>
      <c r="G20" s="7">
        <f t="shared" si="0"/>
        <v>39</v>
      </c>
    </row>
    <row r="21" spans="1:7" x14ac:dyDescent="0.25">
      <c r="A21" s="1" t="s">
        <v>512</v>
      </c>
      <c r="B21" s="1"/>
      <c r="C21">
        <v>366</v>
      </c>
      <c r="D21" s="3">
        <v>2</v>
      </c>
      <c r="E21" s="3">
        <v>1</v>
      </c>
      <c r="F21" s="3"/>
      <c r="G21" s="7">
        <f t="shared" si="0"/>
        <v>369</v>
      </c>
    </row>
    <row r="22" spans="1:7" x14ac:dyDescent="0.25">
      <c r="A22" s="1" t="s">
        <v>513</v>
      </c>
      <c r="B22" s="1"/>
      <c r="C22">
        <v>0</v>
      </c>
      <c r="D22" s="3">
        <v>13</v>
      </c>
      <c r="E22" s="3">
        <v>1</v>
      </c>
      <c r="F22" s="3">
        <v>3</v>
      </c>
      <c r="G22" s="7">
        <f t="shared" si="0"/>
        <v>17</v>
      </c>
    </row>
    <row r="23" spans="1:7" x14ac:dyDescent="0.25">
      <c r="A23" t="s">
        <v>345</v>
      </c>
      <c r="C23">
        <v>78</v>
      </c>
      <c r="D23" s="3">
        <v>8</v>
      </c>
      <c r="E23" s="3">
        <v>1</v>
      </c>
      <c r="F23" s="3">
        <v>4</v>
      </c>
      <c r="G23" s="7">
        <f t="shared" si="0"/>
        <v>91</v>
      </c>
    </row>
    <row r="24" spans="1:7" x14ac:dyDescent="0.25">
      <c r="A24" s="1" t="s">
        <v>498</v>
      </c>
      <c r="C24">
        <v>62</v>
      </c>
      <c r="D24" s="3">
        <v>17</v>
      </c>
      <c r="E24" s="3">
        <v>3</v>
      </c>
      <c r="F24" s="3">
        <v>3</v>
      </c>
      <c r="G24" s="7">
        <f t="shared" si="0"/>
        <v>85</v>
      </c>
    </row>
    <row r="25" spans="1:7" x14ac:dyDescent="0.25">
      <c r="A25" s="1" t="s">
        <v>514</v>
      </c>
      <c r="C25">
        <v>13</v>
      </c>
      <c r="D25" s="3">
        <v>8</v>
      </c>
      <c r="E25" s="3"/>
      <c r="F25" s="3">
        <v>1</v>
      </c>
      <c r="G25" s="7">
        <f t="shared" si="0"/>
        <v>22</v>
      </c>
    </row>
    <row r="26" spans="1:7" s="4" customFormat="1" x14ac:dyDescent="0.25">
      <c r="A26" s="4" t="s">
        <v>176</v>
      </c>
      <c r="B26" s="4" t="s">
        <v>151</v>
      </c>
      <c r="C26" s="4">
        <v>330</v>
      </c>
      <c r="D26" s="12">
        <v>27</v>
      </c>
      <c r="E26" s="12">
        <v>2</v>
      </c>
      <c r="F26" s="12">
        <v>9</v>
      </c>
      <c r="G26" s="5">
        <f t="shared" si="0"/>
        <v>368</v>
      </c>
    </row>
    <row r="27" spans="1:7" x14ac:dyDescent="0.25">
      <c r="A27" t="s">
        <v>515</v>
      </c>
      <c r="C27">
        <v>0</v>
      </c>
      <c r="D27" s="3">
        <v>16</v>
      </c>
      <c r="E27" s="3"/>
      <c r="F27" s="3">
        <v>3</v>
      </c>
      <c r="G27" s="7">
        <f t="shared" si="0"/>
        <v>19</v>
      </c>
    </row>
    <row r="28" spans="1:7" x14ac:dyDescent="0.25">
      <c r="A28" t="s">
        <v>499</v>
      </c>
      <c r="C28">
        <v>63</v>
      </c>
      <c r="D28" s="3">
        <v>3</v>
      </c>
      <c r="E28" s="3"/>
      <c r="F28" s="3"/>
      <c r="G28" s="7">
        <f t="shared" si="0"/>
        <v>66</v>
      </c>
    </row>
    <row r="29" spans="1:7" x14ac:dyDescent="0.25">
      <c r="A29" t="s">
        <v>177</v>
      </c>
      <c r="B29" t="s">
        <v>149</v>
      </c>
      <c r="C29">
        <v>129</v>
      </c>
      <c r="D29" s="3">
        <v>4</v>
      </c>
      <c r="E29" s="3"/>
      <c r="F29" s="3">
        <v>2</v>
      </c>
      <c r="G29" s="7">
        <f t="shared" si="0"/>
        <v>135</v>
      </c>
    </row>
    <row r="30" spans="1:7" x14ac:dyDescent="0.25">
      <c r="A30" t="s">
        <v>425</v>
      </c>
      <c r="C30">
        <v>67</v>
      </c>
      <c r="D30" s="3">
        <v>9</v>
      </c>
      <c r="E30" s="3">
        <v>1</v>
      </c>
      <c r="F30" s="3">
        <v>5</v>
      </c>
      <c r="G30" s="7">
        <f t="shared" si="0"/>
        <v>82</v>
      </c>
    </row>
    <row r="31" spans="1:7" x14ac:dyDescent="0.25">
      <c r="A31" t="s">
        <v>178</v>
      </c>
      <c r="B31" t="s">
        <v>149</v>
      </c>
      <c r="C31">
        <v>265</v>
      </c>
      <c r="D31" s="3">
        <v>20</v>
      </c>
      <c r="E31" s="3">
        <v>2</v>
      </c>
      <c r="F31" s="3">
        <v>9</v>
      </c>
      <c r="G31" s="7">
        <f t="shared" si="0"/>
        <v>296</v>
      </c>
    </row>
    <row r="32" spans="1:7" s="4" customFormat="1" x14ac:dyDescent="0.25">
      <c r="A32" s="4" t="s">
        <v>179</v>
      </c>
      <c r="B32" s="4" t="s">
        <v>151</v>
      </c>
      <c r="C32" s="4">
        <v>231</v>
      </c>
      <c r="D32" s="12">
        <v>17</v>
      </c>
      <c r="E32" s="12">
        <v>2</v>
      </c>
      <c r="F32" s="12">
        <v>9</v>
      </c>
      <c r="G32" s="5">
        <f t="shared" si="0"/>
        <v>259</v>
      </c>
    </row>
    <row r="33" spans="1:7" x14ac:dyDescent="0.25">
      <c r="A33" t="s">
        <v>271</v>
      </c>
      <c r="B33" t="s">
        <v>151</v>
      </c>
      <c r="C33">
        <v>101</v>
      </c>
      <c r="D33" s="3">
        <v>6</v>
      </c>
      <c r="E33" s="3">
        <v>1</v>
      </c>
      <c r="F33" s="3">
        <v>3</v>
      </c>
      <c r="G33" s="7">
        <f t="shared" si="0"/>
        <v>111</v>
      </c>
    </row>
    <row r="34" spans="1:7" x14ac:dyDescent="0.25">
      <c r="A34" s="1" t="s">
        <v>348</v>
      </c>
      <c r="B34" s="1" t="s">
        <v>149</v>
      </c>
      <c r="C34">
        <v>174</v>
      </c>
      <c r="D34" s="3">
        <v>5</v>
      </c>
      <c r="E34" s="3">
        <v>1</v>
      </c>
      <c r="F34" s="3">
        <v>8</v>
      </c>
      <c r="G34" s="7">
        <f t="shared" si="0"/>
        <v>188</v>
      </c>
    </row>
    <row r="35" spans="1:7" s="4" customFormat="1" x14ac:dyDescent="0.25">
      <c r="A35" s="4" t="s">
        <v>182</v>
      </c>
      <c r="B35" s="4" t="s">
        <v>151</v>
      </c>
      <c r="C35" s="4">
        <v>198</v>
      </c>
      <c r="D35" s="12">
        <v>17</v>
      </c>
      <c r="E35" s="12">
        <v>2</v>
      </c>
      <c r="F35" s="12">
        <v>10</v>
      </c>
      <c r="G35" s="5">
        <f t="shared" ref="G35:G54" si="1">C35+D35+E35+F35</f>
        <v>227</v>
      </c>
    </row>
    <row r="36" spans="1:7" x14ac:dyDescent="0.25">
      <c r="A36" t="s">
        <v>516</v>
      </c>
      <c r="C36">
        <v>49</v>
      </c>
      <c r="D36" s="3">
        <v>25</v>
      </c>
      <c r="E36" s="3">
        <v>2</v>
      </c>
      <c r="F36" s="3">
        <v>8</v>
      </c>
      <c r="G36" s="7">
        <f t="shared" si="1"/>
        <v>84</v>
      </c>
    </row>
    <row r="37" spans="1:7" x14ac:dyDescent="0.25">
      <c r="A37" t="s">
        <v>500</v>
      </c>
      <c r="C37">
        <v>42</v>
      </c>
      <c r="D37" s="3">
        <v>10</v>
      </c>
      <c r="E37" s="3">
        <v>1</v>
      </c>
      <c r="F37" s="3"/>
      <c r="G37" s="7">
        <f t="shared" si="1"/>
        <v>53</v>
      </c>
    </row>
    <row r="38" spans="1:7" x14ac:dyDescent="0.25">
      <c r="A38" t="s">
        <v>501</v>
      </c>
      <c r="C38">
        <v>58</v>
      </c>
      <c r="D38" s="3">
        <v>15</v>
      </c>
      <c r="E38" s="3">
        <v>1</v>
      </c>
      <c r="F38" s="3">
        <v>3</v>
      </c>
      <c r="G38" s="7">
        <f t="shared" si="1"/>
        <v>77</v>
      </c>
    </row>
    <row r="39" spans="1:7" x14ac:dyDescent="0.25">
      <c r="A39" t="s">
        <v>187</v>
      </c>
      <c r="B39" t="s">
        <v>149</v>
      </c>
      <c r="C39">
        <v>121</v>
      </c>
      <c r="D39" s="3">
        <v>2</v>
      </c>
      <c r="E39" s="3"/>
      <c r="F39" s="3"/>
      <c r="G39" s="7">
        <f t="shared" si="1"/>
        <v>123</v>
      </c>
    </row>
    <row r="40" spans="1:7" x14ac:dyDescent="0.25">
      <c r="A40" t="s">
        <v>272</v>
      </c>
      <c r="B40" t="s">
        <v>151</v>
      </c>
      <c r="C40">
        <v>225</v>
      </c>
      <c r="D40" s="3"/>
      <c r="E40" s="3"/>
      <c r="F40" s="3">
        <v>1</v>
      </c>
      <c r="G40" s="7">
        <f t="shared" si="1"/>
        <v>226</v>
      </c>
    </row>
    <row r="41" spans="1:7" s="4" customFormat="1" x14ac:dyDescent="0.25">
      <c r="A41" t="s">
        <v>52</v>
      </c>
      <c r="C41">
        <v>300</v>
      </c>
      <c r="D41" s="3">
        <v>27</v>
      </c>
      <c r="E41" s="3">
        <v>3</v>
      </c>
      <c r="F41" s="3">
        <v>9</v>
      </c>
      <c r="G41" s="7">
        <f t="shared" si="1"/>
        <v>339</v>
      </c>
    </row>
    <row r="42" spans="1:7" s="4" customFormat="1" x14ac:dyDescent="0.25">
      <c r="A42" s="4" t="s">
        <v>190</v>
      </c>
      <c r="B42" s="4" t="s">
        <v>151</v>
      </c>
      <c r="C42" s="4">
        <v>243</v>
      </c>
      <c r="D42" s="12">
        <v>9</v>
      </c>
      <c r="E42" s="12"/>
      <c r="F42" s="12"/>
      <c r="G42" s="5">
        <f t="shared" si="1"/>
        <v>252</v>
      </c>
    </row>
    <row r="43" spans="1:7" x14ac:dyDescent="0.25">
      <c r="A43" t="s">
        <v>192</v>
      </c>
      <c r="B43" t="s">
        <v>149</v>
      </c>
      <c r="C43">
        <v>380</v>
      </c>
      <c r="D43" s="3">
        <v>1</v>
      </c>
      <c r="E43" s="3"/>
      <c r="F43" s="3"/>
      <c r="G43" s="7">
        <f t="shared" si="1"/>
        <v>381</v>
      </c>
    </row>
    <row r="44" spans="1:7" x14ac:dyDescent="0.25">
      <c r="A44" s="1" t="s">
        <v>517</v>
      </c>
      <c r="C44">
        <v>63</v>
      </c>
      <c r="D44" s="3">
        <v>22</v>
      </c>
      <c r="E44" s="3">
        <v>2</v>
      </c>
      <c r="F44" s="3">
        <v>8</v>
      </c>
      <c r="G44" s="7">
        <f t="shared" si="1"/>
        <v>95</v>
      </c>
    </row>
    <row r="45" spans="1:7" x14ac:dyDescent="0.25">
      <c r="A45" s="1" t="s">
        <v>426</v>
      </c>
      <c r="B45" s="1" t="s">
        <v>151</v>
      </c>
      <c r="C45">
        <v>97</v>
      </c>
      <c r="D45" s="3">
        <v>26</v>
      </c>
      <c r="E45" s="3">
        <v>2</v>
      </c>
      <c r="F45" s="3">
        <v>4</v>
      </c>
      <c r="G45" s="7">
        <f t="shared" si="1"/>
        <v>129</v>
      </c>
    </row>
    <row r="46" spans="1:7" s="4" customFormat="1" x14ac:dyDescent="0.25">
      <c r="A46" t="s">
        <v>193</v>
      </c>
      <c r="B46" t="s">
        <v>151</v>
      </c>
      <c r="C46">
        <v>204</v>
      </c>
      <c r="D46" s="3">
        <v>27</v>
      </c>
      <c r="E46" s="3">
        <v>3</v>
      </c>
      <c r="F46" s="3">
        <v>5</v>
      </c>
      <c r="G46" s="7">
        <f t="shared" si="1"/>
        <v>239</v>
      </c>
    </row>
    <row r="47" spans="1:7" x14ac:dyDescent="0.25">
      <c r="A47" t="s">
        <v>518</v>
      </c>
      <c r="C47">
        <v>25</v>
      </c>
      <c r="D47" s="3">
        <v>11</v>
      </c>
      <c r="E47" s="3"/>
      <c r="F47" s="3">
        <v>6</v>
      </c>
      <c r="G47" s="7">
        <f t="shared" si="1"/>
        <v>42</v>
      </c>
    </row>
    <row r="48" spans="1:7" x14ac:dyDescent="0.25">
      <c r="A48" t="s">
        <v>350</v>
      </c>
      <c r="C48">
        <v>45</v>
      </c>
      <c r="D48" s="3">
        <v>2</v>
      </c>
      <c r="E48" s="3"/>
      <c r="F48" s="3">
        <v>2</v>
      </c>
      <c r="G48" s="7">
        <f t="shared" si="1"/>
        <v>49</v>
      </c>
    </row>
    <row r="49" spans="1:7" s="4" customFormat="1" x14ac:dyDescent="0.25">
      <c r="A49" s="4" t="s">
        <v>196</v>
      </c>
      <c r="B49" s="4" t="s">
        <v>149</v>
      </c>
      <c r="C49" s="4">
        <v>397</v>
      </c>
      <c r="D49" s="12">
        <v>24</v>
      </c>
      <c r="E49" s="12">
        <v>2</v>
      </c>
      <c r="F49" s="12">
        <v>7</v>
      </c>
      <c r="G49" s="5">
        <f t="shared" si="1"/>
        <v>430</v>
      </c>
    </row>
    <row r="50" spans="1:7" s="4" customFormat="1" x14ac:dyDescent="0.25">
      <c r="A50" s="4" t="s">
        <v>198</v>
      </c>
      <c r="B50" s="4" t="s">
        <v>151</v>
      </c>
      <c r="C50" s="4">
        <v>198</v>
      </c>
      <c r="D50" s="12">
        <v>8</v>
      </c>
      <c r="E50" s="12"/>
      <c r="F50" s="12"/>
      <c r="G50" s="5">
        <f t="shared" si="1"/>
        <v>206</v>
      </c>
    </row>
    <row r="51" spans="1:7" x14ac:dyDescent="0.25">
      <c r="A51" t="s">
        <v>427</v>
      </c>
      <c r="C51">
        <v>85</v>
      </c>
      <c r="D51" s="3">
        <v>15</v>
      </c>
      <c r="E51" s="3"/>
      <c r="F51" s="3">
        <v>5</v>
      </c>
      <c r="G51" s="7">
        <f t="shared" si="1"/>
        <v>105</v>
      </c>
    </row>
    <row r="52" spans="1:7" x14ac:dyDescent="0.25">
      <c r="A52" t="s">
        <v>200</v>
      </c>
      <c r="B52" t="s">
        <v>149</v>
      </c>
      <c r="C52">
        <v>204</v>
      </c>
      <c r="D52" s="3">
        <v>14</v>
      </c>
      <c r="E52" s="3"/>
      <c r="F52" s="3">
        <v>2</v>
      </c>
      <c r="G52" s="7">
        <f t="shared" si="1"/>
        <v>220</v>
      </c>
    </row>
    <row r="53" spans="1:7" x14ac:dyDescent="0.25">
      <c r="A53" t="s">
        <v>351</v>
      </c>
      <c r="B53" t="s">
        <v>149</v>
      </c>
      <c r="C53">
        <v>113</v>
      </c>
      <c r="D53" s="3">
        <v>7</v>
      </c>
      <c r="E53" s="3">
        <v>1</v>
      </c>
      <c r="F53" s="3">
        <v>3</v>
      </c>
      <c r="G53" s="7">
        <f t="shared" si="1"/>
        <v>124</v>
      </c>
    </row>
    <row r="54" spans="1:7" x14ac:dyDescent="0.25">
      <c r="A54" t="s">
        <v>201</v>
      </c>
      <c r="B54" t="s">
        <v>151</v>
      </c>
      <c r="C54">
        <v>216</v>
      </c>
      <c r="D54" s="3">
        <v>21</v>
      </c>
      <c r="E54" s="3"/>
      <c r="F54" s="3">
        <v>6</v>
      </c>
      <c r="G54" s="7">
        <f t="shared" si="1"/>
        <v>243</v>
      </c>
    </row>
    <row r="56" spans="1:7" x14ac:dyDescent="0.25">
      <c r="A56" s="10" t="s">
        <v>203</v>
      </c>
      <c r="B56" s="10"/>
      <c r="C56" s="11"/>
      <c r="D56" s="10">
        <f>COUNT(D6:D54)</f>
        <v>47</v>
      </c>
      <c r="E56" s="10">
        <f>COUNT(E6:E54)</f>
        <v>34</v>
      </c>
      <c r="F56" s="10">
        <f>COUNT(F6:F54)</f>
        <v>42</v>
      </c>
      <c r="G56" s="10"/>
    </row>
    <row r="57" spans="1:7" x14ac:dyDescent="0.25">
      <c r="A57" s="8" t="s">
        <v>204</v>
      </c>
      <c r="B57" s="8"/>
      <c r="C57" s="9"/>
      <c r="D57" s="8">
        <f>SUM(D6:D52)</f>
        <v>669</v>
      </c>
      <c r="E57" s="8">
        <f>SUM(E6:E52)</f>
        <v>58</v>
      </c>
      <c r="F57" s="8">
        <f>SUM(F6:F52)</f>
        <v>216</v>
      </c>
      <c r="G57" s="8"/>
    </row>
    <row r="60" spans="1:7" x14ac:dyDescent="0.25">
      <c r="A60" t="s">
        <v>205</v>
      </c>
    </row>
  </sheetData>
  <mergeCells count="1">
    <mergeCell ref="E1:G1"/>
  </mergeCells>
  <printOptions gridLines="1"/>
  <pageMargins left="0.48" right="0.19" top="0.43" bottom="0.48" header="0.34" footer="0.25"/>
  <pageSetup paperSize="8" scale="9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64"/>
  <sheetViews>
    <sheetView view="pageBreakPreview" zoomScale="70" zoomScaleNormal="25" zoomScaleSheetLayoutView="70" workbookViewId="0">
      <pane xSplit="3" ySplit="2" topLeftCell="D24" activePane="bottomRight" state="frozen"/>
      <selection pane="topRight" activeCell="C1" sqref="C1"/>
      <selection pane="bottomLeft" activeCell="A7" sqref="A7"/>
      <selection pane="bottomRight" activeCell="C1" sqref="C1"/>
    </sheetView>
  </sheetViews>
  <sheetFormatPr baseColWidth="10" defaultColWidth="9.109375" defaultRowHeight="13.2" x14ac:dyDescent="0.25"/>
  <cols>
    <col min="1" max="1" width="18.44140625" customWidth="1"/>
    <col min="2" max="2" width="4.109375" customWidth="1"/>
    <col min="3" max="3" width="5.44140625" customWidth="1"/>
    <col min="4" max="6" width="10.6640625" customWidth="1"/>
    <col min="7" max="7" width="35.44140625" customWidth="1"/>
    <col min="8" max="8" width="5.88671875" bestFit="1" customWidth="1"/>
    <col min="9" max="9" width="5.88671875" customWidth="1"/>
    <col min="10" max="10" width="5.44140625" bestFit="1" customWidth="1"/>
  </cols>
  <sheetData>
    <row r="1" spans="1:7" ht="36.75" customHeight="1" x14ac:dyDescent="0.6">
      <c r="E1" s="100" t="s">
        <v>519</v>
      </c>
      <c r="F1" s="92"/>
      <c r="G1" s="92"/>
    </row>
    <row r="2" spans="1:7" ht="79.5" customHeight="1" x14ac:dyDescent="0.25">
      <c r="A2" s="8"/>
      <c r="B2" s="8"/>
      <c r="C2" s="9"/>
      <c r="D2" s="2" t="s">
        <v>6</v>
      </c>
      <c r="E2" s="2" t="s">
        <v>72</v>
      </c>
      <c r="F2" s="2" t="s">
        <v>71</v>
      </c>
      <c r="G2" s="6" t="s">
        <v>147</v>
      </c>
    </row>
    <row r="3" spans="1:7" ht="12.75" customHeight="1" x14ac:dyDescent="0.25">
      <c r="A3" s="1" t="s">
        <v>14</v>
      </c>
      <c r="C3">
        <f>'21-22'!G3</f>
        <v>52</v>
      </c>
      <c r="D3" s="13">
        <v>23</v>
      </c>
      <c r="E3" s="13">
        <v>0</v>
      </c>
      <c r="F3" s="13">
        <v>3</v>
      </c>
      <c r="G3" s="7">
        <f t="shared" ref="G3:G34" si="0">C3+D3+E3+F3</f>
        <v>78</v>
      </c>
    </row>
    <row r="4" spans="1:7" ht="12.75" customHeight="1" x14ac:dyDescent="0.25">
      <c r="A4" s="1" t="s">
        <v>12</v>
      </c>
      <c r="C4">
        <f>'21-22'!G4</f>
        <v>25</v>
      </c>
      <c r="D4" s="13">
        <v>18</v>
      </c>
      <c r="E4" s="13">
        <v>2</v>
      </c>
      <c r="F4" s="13">
        <v>7</v>
      </c>
      <c r="G4" s="7">
        <f t="shared" si="0"/>
        <v>52</v>
      </c>
    </row>
    <row r="5" spans="1:7" ht="12.75" customHeight="1" x14ac:dyDescent="0.25">
      <c r="A5" s="1" t="s">
        <v>13</v>
      </c>
      <c r="C5">
        <f>'21-22'!G5</f>
        <v>17</v>
      </c>
      <c r="D5" s="13">
        <v>20</v>
      </c>
      <c r="E5" s="13">
        <v>2</v>
      </c>
      <c r="F5" s="13">
        <v>2</v>
      </c>
      <c r="G5" s="7">
        <f t="shared" si="0"/>
        <v>41</v>
      </c>
    </row>
    <row r="6" spans="1:7" ht="12.75" customHeight="1" x14ac:dyDescent="0.25">
      <c r="A6" s="1" t="s">
        <v>17</v>
      </c>
      <c r="C6">
        <f>'21-22'!G6</f>
        <v>35</v>
      </c>
      <c r="D6" s="13">
        <v>20</v>
      </c>
      <c r="E6" s="13">
        <v>1</v>
      </c>
      <c r="F6" s="13">
        <v>3</v>
      </c>
      <c r="G6" s="7">
        <f t="shared" si="0"/>
        <v>59</v>
      </c>
    </row>
    <row r="7" spans="1:7" ht="12.75" customHeight="1" x14ac:dyDescent="0.25">
      <c r="A7" t="s">
        <v>20</v>
      </c>
      <c r="B7" t="s">
        <v>151</v>
      </c>
      <c r="C7">
        <f>'21-22'!G7</f>
        <v>138</v>
      </c>
      <c r="D7" s="13">
        <v>1</v>
      </c>
      <c r="E7" s="13">
        <v>0</v>
      </c>
      <c r="F7" s="13">
        <v>1</v>
      </c>
      <c r="G7" s="7">
        <f t="shared" si="0"/>
        <v>140</v>
      </c>
    </row>
    <row r="8" spans="1:7" ht="12.75" customHeight="1" x14ac:dyDescent="0.25">
      <c r="A8" t="s">
        <v>155</v>
      </c>
      <c r="B8" t="s">
        <v>149</v>
      </c>
      <c r="C8">
        <f>'21-22'!G8</f>
        <v>234</v>
      </c>
      <c r="D8" s="13">
        <v>5</v>
      </c>
      <c r="E8" s="13">
        <v>0</v>
      </c>
      <c r="F8" s="13">
        <v>3</v>
      </c>
      <c r="G8" s="7">
        <f t="shared" si="0"/>
        <v>242</v>
      </c>
    </row>
    <row r="9" spans="1:7" x14ac:dyDescent="0.25">
      <c r="A9" t="s">
        <v>156</v>
      </c>
      <c r="B9" t="s">
        <v>149</v>
      </c>
      <c r="C9">
        <f>'21-22'!G9</f>
        <v>530</v>
      </c>
      <c r="D9" s="13">
        <v>15</v>
      </c>
      <c r="E9" s="13">
        <v>1</v>
      </c>
      <c r="F9" s="13">
        <v>8</v>
      </c>
      <c r="G9" s="7">
        <f t="shared" si="0"/>
        <v>554</v>
      </c>
    </row>
    <row r="10" spans="1:7" x14ac:dyDescent="0.25">
      <c r="A10" t="s">
        <v>507</v>
      </c>
      <c r="C10">
        <f>'21-22'!G10</f>
        <v>56</v>
      </c>
      <c r="D10" s="13">
        <v>22</v>
      </c>
      <c r="E10" s="13">
        <v>1</v>
      </c>
      <c r="F10" s="13">
        <v>6</v>
      </c>
      <c r="G10" s="7">
        <f t="shared" si="0"/>
        <v>85</v>
      </c>
    </row>
    <row r="11" spans="1:7" s="4" customFormat="1" ht="12.75" customHeight="1" x14ac:dyDescent="0.25">
      <c r="A11" t="s">
        <v>159</v>
      </c>
      <c r="B11" t="s">
        <v>151</v>
      </c>
      <c r="C11">
        <f>'21-22'!G11</f>
        <v>260</v>
      </c>
      <c r="D11" s="13">
        <v>21</v>
      </c>
      <c r="E11" s="13">
        <v>1</v>
      </c>
      <c r="F11" s="13">
        <v>9</v>
      </c>
      <c r="G11" s="7">
        <f t="shared" si="0"/>
        <v>291</v>
      </c>
    </row>
    <row r="12" spans="1:7" s="4" customFormat="1" x14ac:dyDescent="0.25">
      <c r="A12" t="s">
        <v>161</v>
      </c>
      <c r="B12" t="s">
        <v>151</v>
      </c>
      <c r="C12">
        <f>'21-22'!G12</f>
        <v>383</v>
      </c>
      <c r="D12" s="13">
        <v>6</v>
      </c>
      <c r="E12" s="13">
        <v>0</v>
      </c>
      <c r="F12" s="13">
        <v>0</v>
      </c>
      <c r="G12" s="7">
        <f t="shared" si="0"/>
        <v>389</v>
      </c>
    </row>
    <row r="13" spans="1:7" x14ac:dyDescent="0.25">
      <c r="A13" t="s">
        <v>496</v>
      </c>
      <c r="C13">
        <f>'21-22'!G13</f>
        <v>97</v>
      </c>
      <c r="D13" s="13">
        <v>20</v>
      </c>
      <c r="E13" s="13">
        <v>0</v>
      </c>
      <c r="F13" s="13">
        <v>4</v>
      </c>
      <c r="G13" s="7">
        <f t="shared" si="0"/>
        <v>121</v>
      </c>
    </row>
    <row r="14" spans="1:7" x14ac:dyDescent="0.25">
      <c r="A14" t="s">
        <v>520</v>
      </c>
      <c r="C14">
        <v>0</v>
      </c>
      <c r="D14" s="13">
        <v>13</v>
      </c>
      <c r="E14" s="13">
        <v>1</v>
      </c>
      <c r="F14" s="13">
        <v>1</v>
      </c>
      <c r="G14" s="7">
        <f t="shared" si="0"/>
        <v>15</v>
      </c>
    </row>
    <row r="15" spans="1:7" x14ac:dyDescent="0.25">
      <c r="A15" t="s">
        <v>508</v>
      </c>
      <c r="C15">
        <f>'21-22'!G14</f>
        <v>38</v>
      </c>
      <c r="D15" s="13">
        <v>28</v>
      </c>
      <c r="E15" s="13">
        <v>0</v>
      </c>
      <c r="F15" s="13">
        <v>9</v>
      </c>
      <c r="G15" s="7">
        <f t="shared" si="0"/>
        <v>75</v>
      </c>
    </row>
    <row r="16" spans="1:7" x14ac:dyDescent="0.25">
      <c r="A16" t="s">
        <v>509</v>
      </c>
      <c r="C16">
        <f>'21-22'!G15</f>
        <v>112</v>
      </c>
      <c r="D16" s="13">
        <v>14</v>
      </c>
      <c r="E16" s="13">
        <v>1</v>
      </c>
      <c r="F16" s="13">
        <v>6</v>
      </c>
      <c r="G16" s="7">
        <f t="shared" si="0"/>
        <v>133</v>
      </c>
    </row>
    <row r="17" spans="1:7" s="4" customFormat="1" x14ac:dyDescent="0.25">
      <c r="A17" t="s">
        <v>165</v>
      </c>
      <c r="B17" t="s">
        <v>149</v>
      </c>
      <c r="C17">
        <f>'21-22'!G16</f>
        <v>283</v>
      </c>
      <c r="D17" s="13">
        <v>11</v>
      </c>
      <c r="E17" s="13">
        <v>2</v>
      </c>
      <c r="F17" s="13">
        <v>7</v>
      </c>
      <c r="G17" s="7">
        <f t="shared" si="0"/>
        <v>303</v>
      </c>
    </row>
    <row r="18" spans="1:7" s="4" customFormat="1" x14ac:dyDescent="0.25">
      <c r="A18" t="s">
        <v>168</v>
      </c>
      <c r="B18" t="s">
        <v>151</v>
      </c>
      <c r="C18">
        <f>'21-22'!G17</f>
        <v>308</v>
      </c>
      <c r="D18" s="13">
        <v>21</v>
      </c>
      <c r="E18" s="13">
        <v>0</v>
      </c>
      <c r="F18" s="13">
        <v>6</v>
      </c>
      <c r="G18" s="7">
        <f t="shared" si="0"/>
        <v>335</v>
      </c>
    </row>
    <row r="19" spans="1:7" x14ac:dyDescent="0.25">
      <c r="A19" s="1" t="s">
        <v>344</v>
      </c>
      <c r="B19" s="1" t="s">
        <v>149</v>
      </c>
      <c r="C19">
        <f>'21-22'!G18</f>
        <v>133</v>
      </c>
      <c r="D19" s="13">
        <v>24</v>
      </c>
      <c r="E19" s="13">
        <v>1</v>
      </c>
      <c r="F19" s="13">
        <v>5</v>
      </c>
      <c r="G19" s="7">
        <f t="shared" si="0"/>
        <v>163</v>
      </c>
    </row>
    <row r="20" spans="1:7" x14ac:dyDescent="0.25">
      <c r="A20" s="1" t="s">
        <v>510</v>
      </c>
      <c r="B20" s="1"/>
      <c r="C20">
        <f>'21-22'!G19</f>
        <v>102</v>
      </c>
      <c r="D20" s="13">
        <v>24</v>
      </c>
      <c r="E20" s="13">
        <v>1</v>
      </c>
      <c r="F20" s="13">
        <v>8</v>
      </c>
      <c r="G20" s="7">
        <f t="shared" si="0"/>
        <v>135</v>
      </c>
    </row>
    <row r="21" spans="1:7" x14ac:dyDescent="0.25">
      <c r="A21" s="1" t="s">
        <v>511</v>
      </c>
      <c r="B21" s="1"/>
      <c r="C21">
        <f>'21-22'!G20</f>
        <v>39</v>
      </c>
      <c r="D21" s="13">
        <v>5</v>
      </c>
      <c r="E21" s="13">
        <v>0</v>
      </c>
      <c r="F21" s="13">
        <v>0</v>
      </c>
      <c r="G21" s="7">
        <f t="shared" si="0"/>
        <v>44</v>
      </c>
    </row>
    <row r="22" spans="1:7" x14ac:dyDescent="0.25">
      <c r="A22" s="1" t="s">
        <v>512</v>
      </c>
      <c r="B22" s="1"/>
      <c r="C22">
        <f>'21-22'!G21</f>
        <v>369</v>
      </c>
      <c r="D22" s="13">
        <v>1</v>
      </c>
      <c r="E22" s="13">
        <v>0</v>
      </c>
      <c r="F22" s="13">
        <v>0</v>
      </c>
      <c r="G22" s="7">
        <f t="shared" si="0"/>
        <v>370</v>
      </c>
    </row>
    <row r="23" spans="1:7" x14ac:dyDescent="0.25">
      <c r="A23" s="1" t="s">
        <v>513</v>
      </c>
      <c r="B23" s="1"/>
      <c r="C23">
        <f>'21-22'!G22</f>
        <v>17</v>
      </c>
      <c r="D23" s="13">
        <v>19</v>
      </c>
      <c r="E23" s="13">
        <v>0</v>
      </c>
      <c r="F23" s="13">
        <v>1</v>
      </c>
      <c r="G23" s="7">
        <f t="shared" si="0"/>
        <v>37</v>
      </c>
    </row>
    <row r="24" spans="1:7" x14ac:dyDescent="0.25">
      <c r="A24" t="s">
        <v>345</v>
      </c>
      <c r="C24">
        <f>'21-22'!G23</f>
        <v>91</v>
      </c>
      <c r="D24" s="13">
        <v>17</v>
      </c>
      <c r="E24" s="13">
        <v>1</v>
      </c>
      <c r="F24" s="13">
        <v>3</v>
      </c>
      <c r="G24" s="7">
        <f t="shared" si="0"/>
        <v>112</v>
      </c>
    </row>
    <row r="25" spans="1:7" x14ac:dyDescent="0.25">
      <c r="A25" s="1" t="s">
        <v>498</v>
      </c>
      <c r="C25">
        <f>'21-22'!G24</f>
        <v>85</v>
      </c>
      <c r="D25" s="13">
        <v>27</v>
      </c>
      <c r="E25" s="13">
        <v>1</v>
      </c>
      <c r="F25" s="13">
        <v>6</v>
      </c>
      <c r="G25" s="7">
        <f t="shared" si="0"/>
        <v>119</v>
      </c>
    </row>
    <row r="26" spans="1:7" x14ac:dyDescent="0.25">
      <c r="A26" s="1" t="s">
        <v>514</v>
      </c>
      <c r="C26">
        <f>'21-22'!G25</f>
        <v>22</v>
      </c>
      <c r="D26" s="13">
        <v>21</v>
      </c>
      <c r="E26" s="13">
        <v>1</v>
      </c>
      <c r="F26" s="13">
        <v>7</v>
      </c>
      <c r="G26" s="7">
        <f t="shared" si="0"/>
        <v>51</v>
      </c>
    </row>
    <row r="27" spans="1:7" s="4" customFormat="1" x14ac:dyDescent="0.25">
      <c r="A27" t="s">
        <v>176</v>
      </c>
      <c r="B27" t="s">
        <v>151</v>
      </c>
      <c r="C27">
        <f>'21-22'!G26</f>
        <v>368</v>
      </c>
      <c r="D27" s="13">
        <v>26</v>
      </c>
      <c r="E27" s="13">
        <v>0</v>
      </c>
      <c r="F27" s="13">
        <v>8</v>
      </c>
      <c r="G27" s="7">
        <f t="shared" si="0"/>
        <v>402</v>
      </c>
    </row>
    <row r="28" spans="1:7" x14ac:dyDescent="0.25">
      <c r="A28" t="s">
        <v>521</v>
      </c>
      <c r="C28">
        <f>'21-22'!G27</f>
        <v>19</v>
      </c>
      <c r="D28" s="13">
        <v>21</v>
      </c>
      <c r="E28" s="13">
        <v>1</v>
      </c>
      <c r="F28" s="13">
        <v>5</v>
      </c>
      <c r="G28" s="7">
        <f t="shared" si="0"/>
        <v>46</v>
      </c>
    </row>
    <row r="29" spans="1:7" x14ac:dyDescent="0.25">
      <c r="A29" t="s">
        <v>499</v>
      </c>
      <c r="C29">
        <f>'21-22'!G28</f>
        <v>66</v>
      </c>
      <c r="D29" s="13">
        <v>0</v>
      </c>
      <c r="E29" s="13">
        <v>0</v>
      </c>
      <c r="F29" s="13">
        <v>0</v>
      </c>
      <c r="G29" s="7">
        <f t="shared" si="0"/>
        <v>66</v>
      </c>
    </row>
    <row r="30" spans="1:7" x14ac:dyDescent="0.25">
      <c r="A30" t="s">
        <v>177</v>
      </c>
      <c r="B30" t="s">
        <v>149</v>
      </c>
      <c r="C30">
        <f>'21-22'!G29</f>
        <v>135</v>
      </c>
      <c r="D30" s="13">
        <v>2</v>
      </c>
      <c r="E30" s="13">
        <v>0</v>
      </c>
      <c r="F30" s="13">
        <v>0</v>
      </c>
      <c r="G30" s="7">
        <f t="shared" si="0"/>
        <v>137</v>
      </c>
    </row>
    <row r="31" spans="1:7" x14ac:dyDescent="0.25">
      <c r="A31" t="s">
        <v>425</v>
      </c>
      <c r="C31">
        <f>'21-22'!G30</f>
        <v>82</v>
      </c>
      <c r="D31" s="13">
        <v>25</v>
      </c>
      <c r="E31" s="13">
        <v>1</v>
      </c>
      <c r="F31" s="13">
        <v>5</v>
      </c>
      <c r="G31" s="7">
        <f t="shared" si="0"/>
        <v>113</v>
      </c>
    </row>
    <row r="32" spans="1:7" x14ac:dyDescent="0.25">
      <c r="A32" t="s">
        <v>178</v>
      </c>
      <c r="B32" t="s">
        <v>149</v>
      </c>
      <c r="C32">
        <f>'21-22'!G31</f>
        <v>296</v>
      </c>
      <c r="D32" s="13">
        <v>19</v>
      </c>
      <c r="E32" s="13">
        <v>1</v>
      </c>
      <c r="F32" s="13">
        <v>8</v>
      </c>
      <c r="G32" s="7">
        <f t="shared" si="0"/>
        <v>324</v>
      </c>
    </row>
    <row r="33" spans="1:7" s="4" customFormat="1" x14ac:dyDescent="0.25">
      <c r="A33" t="s">
        <v>179</v>
      </c>
      <c r="B33" t="s">
        <v>151</v>
      </c>
      <c r="C33">
        <f>'21-22'!G32</f>
        <v>259</v>
      </c>
      <c r="D33" s="13">
        <v>0</v>
      </c>
      <c r="E33" s="13">
        <v>0</v>
      </c>
      <c r="F33" s="13">
        <v>5</v>
      </c>
      <c r="G33" s="7">
        <f t="shared" si="0"/>
        <v>264</v>
      </c>
    </row>
    <row r="34" spans="1:7" x14ac:dyDescent="0.25">
      <c r="A34" t="s">
        <v>271</v>
      </c>
      <c r="B34" t="s">
        <v>151</v>
      </c>
      <c r="C34">
        <f>'21-22'!G33</f>
        <v>111</v>
      </c>
      <c r="D34" s="13">
        <v>4</v>
      </c>
      <c r="E34" s="13">
        <v>0</v>
      </c>
      <c r="F34" s="13">
        <v>0</v>
      </c>
      <c r="G34" s="7">
        <f t="shared" si="0"/>
        <v>115</v>
      </c>
    </row>
    <row r="35" spans="1:7" x14ac:dyDescent="0.25">
      <c r="A35" s="1" t="s">
        <v>348</v>
      </c>
      <c r="B35" s="1" t="s">
        <v>149</v>
      </c>
      <c r="C35">
        <f>'21-22'!G34</f>
        <v>188</v>
      </c>
      <c r="D35" s="13">
        <v>1</v>
      </c>
      <c r="E35" s="13">
        <v>0</v>
      </c>
      <c r="F35" s="13">
        <v>0</v>
      </c>
      <c r="G35" s="7">
        <f t="shared" ref="G35:G57" si="1">C35+D35+E35+F35</f>
        <v>189</v>
      </c>
    </row>
    <row r="36" spans="1:7" s="4" customFormat="1" x14ac:dyDescent="0.25">
      <c r="A36" t="s">
        <v>182</v>
      </c>
      <c r="B36" t="s">
        <v>151</v>
      </c>
      <c r="C36">
        <f>'21-22'!G35</f>
        <v>227</v>
      </c>
      <c r="D36" s="13">
        <v>4</v>
      </c>
      <c r="E36" s="13">
        <v>0</v>
      </c>
      <c r="F36" s="13">
        <v>0</v>
      </c>
      <c r="G36" s="7">
        <f t="shared" si="1"/>
        <v>231</v>
      </c>
    </row>
    <row r="37" spans="1:7" x14ac:dyDescent="0.25">
      <c r="A37" t="s">
        <v>516</v>
      </c>
      <c r="C37">
        <f>'21-22'!G36</f>
        <v>84</v>
      </c>
      <c r="D37" s="13">
        <v>20</v>
      </c>
      <c r="E37" s="13">
        <v>2</v>
      </c>
      <c r="F37" s="13">
        <v>1</v>
      </c>
      <c r="G37" s="7">
        <f t="shared" si="1"/>
        <v>107</v>
      </c>
    </row>
    <row r="38" spans="1:7" x14ac:dyDescent="0.25">
      <c r="A38" t="s">
        <v>500</v>
      </c>
      <c r="C38">
        <f>'21-22'!G37</f>
        <v>53</v>
      </c>
      <c r="D38" s="13">
        <v>3</v>
      </c>
      <c r="E38" s="13">
        <v>0</v>
      </c>
      <c r="F38" s="13">
        <v>0</v>
      </c>
      <c r="G38" s="7">
        <f t="shared" si="1"/>
        <v>56</v>
      </c>
    </row>
    <row r="39" spans="1:7" x14ac:dyDescent="0.25">
      <c r="A39" t="s">
        <v>501</v>
      </c>
      <c r="C39">
        <f>'21-22'!G38</f>
        <v>77</v>
      </c>
      <c r="D39" s="13">
        <v>11</v>
      </c>
      <c r="E39" s="13">
        <v>1</v>
      </c>
      <c r="F39" s="13">
        <v>1</v>
      </c>
      <c r="G39" s="7">
        <f t="shared" si="1"/>
        <v>90</v>
      </c>
    </row>
    <row r="40" spans="1:7" x14ac:dyDescent="0.25">
      <c r="A40" t="s">
        <v>522</v>
      </c>
      <c r="C40">
        <v>0</v>
      </c>
      <c r="D40" s="13">
        <v>16</v>
      </c>
      <c r="E40" s="13">
        <v>1</v>
      </c>
      <c r="F40" s="13">
        <v>3</v>
      </c>
      <c r="G40" s="7">
        <f t="shared" si="1"/>
        <v>20</v>
      </c>
    </row>
    <row r="41" spans="1:7" x14ac:dyDescent="0.25">
      <c r="A41" t="s">
        <v>187</v>
      </c>
      <c r="B41" t="s">
        <v>149</v>
      </c>
      <c r="C41">
        <f>'21-22'!G39</f>
        <v>123</v>
      </c>
      <c r="D41" s="13">
        <v>0</v>
      </c>
      <c r="E41" s="13">
        <v>0</v>
      </c>
      <c r="F41" s="13">
        <v>0</v>
      </c>
      <c r="G41" s="7">
        <f t="shared" si="1"/>
        <v>123</v>
      </c>
    </row>
    <row r="42" spans="1:7" x14ac:dyDescent="0.25">
      <c r="A42" t="s">
        <v>272</v>
      </c>
      <c r="B42" t="s">
        <v>151</v>
      </c>
      <c r="C42">
        <f>'21-22'!G40</f>
        <v>226</v>
      </c>
      <c r="D42" s="13">
        <v>0</v>
      </c>
      <c r="E42" s="13">
        <v>0</v>
      </c>
      <c r="F42" s="13">
        <v>0</v>
      </c>
      <c r="G42" s="7">
        <f t="shared" si="1"/>
        <v>226</v>
      </c>
    </row>
    <row r="43" spans="1:7" s="4" customFormat="1" x14ac:dyDescent="0.25">
      <c r="A43" t="s">
        <v>52</v>
      </c>
      <c r="C43">
        <f>'21-22'!G41</f>
        <v>339</v>
      </c>
      <c r="D43" s="13">
        <v>21</v>
      </c>
      <c r="E43" s="13">
        <v>0</v>
      </c>
      <c r="F43" s="13">
        <v>8</v>
      </c>
      <c r="G43" s="7">
        <f t="shared" si="1"/>
        <v>368</v>
      </c>
    </row>
    <row r="44" spans="1:7" s="4" customFormat="1" x14ac:dyDescent="0.25">
      <c r="A44" t="s">
        <v>190</v>
      </c>
      <c r="B44" t="s">
        <v>151</v>
      </c>
      <c r="C44">
        <f>'21-22'!G42</f>
        <v>252</v>
      </c>
      <c r="D44" s="13">
        <v>18</v>
      </c>
      <c r="E44" s="13">
        <v>1</v>
      </c>
      <c r="F44" s="13">
        <v>2</v>
      </c>
      <c r="G44" s="7">
        <f t="shared" si="1"/>
        <v>273</v>
      </c>
    </row>
    <row r="45" spans="1:7" x14ac:dyDescent="0.25">
      <c r="A45" t="s">
        <v>192</v>
      </c>
      <c r="B45" t="s">
        <v>149</v>
      </c>
      <c r="C45">
        <f>'21-22'!G43</f>
        <v>381</v>
      </c>
      <c r="D45" s="13">
        <v>2</v>
      </c>
      <c r="E45" s="13">
        <v>0</v>
      </c>
      <c r="F45" s="13">
        <v>0</v>
      </c>
      <c r="G45" s="7">
        <f t="shared" si="1"/>
        <v>383</v>
      </c>
    </row>
    <row r="46" spans="1:7" x14ac:dyDescent="0.25">
      <c r="A46" s="1" t="s">
        <v>517</v>
      </c>
      <c r="C46">
        <f>'21-22'!G44</f>
        <v>95</v>
      </c>
      <c r="D46" s="13">
        <v>26</v>
      </c>
      <c r="E46" s="13">
        <v>0</v>
      </c>
      <c r="F46" s="13">
        <v>7</v>
      </c>
      <c r="G46" s="7">
        <f t="shared" si="1"/>
        <v>128</v>
      </c>
    </row>
    <row r="47" spans="1:7" x14ac:dyDescent="0.25">
      <c r="A47" s="1" t="s">
        <v>426</v>
      </c>
      <c r="B47" s="1" t="s">
        <v>151</v>
      </c>
      <c r="C47">
        <f>'21-22'!G45</f>
        <v>129</v>
      </c>
      <c r="D47" s="13">
        <v>23</v>
      </c>
      <c r="E47" s="13">
        <v>1</v>
      </c>
      <c r="F47" s="13">
        <v>3</v>
      </c>
      <c r="G47" s="7">
        <f t="shared" si="1"/>
        <v>156</v>
      </c>
    </row>
    <row r="48" spans="1:7" s="4" customFormat="1" x14ac:dyDescent="0.25">
      <c r="A48" t="s">
        <v>193</v>
      </c>
      <c r="B48" t="s">
        <v>151</v>
      </c>
      <c r="C48">
        <f>'21-22'!G46</f>
        <v>239</v>
      </c>
      <c r="D48" s="13">
        <v>26</v>
      </c>
      <c r="E48" s="13">
        <v>0</v>
      </c>
      <c r="F48" s="13">
        <v>6</v>
      </c>
      <c r="G48" s="7">
        <f t="shared" si="1"/>
        <v>271</v>
      </c>
    </row>
    <row r="49" spans="1:7" x14ac:dyDescent="0.25">
      <c r="A49" t="s">
        <v>518</v>
      </c>
      <c r="C49">
        <f>'21-22'!G47</f>
        <v>42</v>
      </c>
      <c r="D49" s="13">
        <v>22</v>
      </c>
      <c r="E49" s="13">
        <v>1</v>
      </c>
      <c r="F49" s="13">
        <v>1</v>
      </c>
      <c r="G49" s="7">
        <f t="shared" si="1"/>
        <v>66</v>
      </c>
    </row>
    <row r="50" spans="1:7" x14ac:dyDescent="0.25">
      <c r="A50" t="s">
        <v>350</v>
      </c>
      <c r="C50">
        <f>'21-22'!G48</f>
        <v>49</v>
      </c>
      <c r="D50" s="13">
        <v>0</v>
      </c>
      <c r="E50" s="13">
        <v>0</v>
      </c>
      <c r="F50" s="13">
        <v>0</v>
      </c>
      <c r="G50" s="7">
        <f t="shared" si="1"/>
        <v>49</v>
      </c>
    </row>
    <row r="51" spans="1:7" s="4" customFormat="1" x14ac:dyDescent="0.25">
      <c r="A51" t="s">
        <v>196</v>
      </c>
      <c r="B51" t="s">
        <v>149</v>
      </c>
      <c r="C51">
        <f>'21-22'!G49</f>
        <v>430</v>
      </c>
      <c r="D51" s="13">
        <v>24</v>
      </c>
      <c r="E51" s="13">
        <v>0</v>
      </c>
      <c r="F51" s="13">
        <v>11</v>
      </c>
      <c r="G51" s="7">
        <f t="shared" si="1"/>
        <v>465</v>
      </c>
    </row>
    <row r="52" spans="1:7" s="4" customFormat="1" x14ac:dyDescent="0.25">
      <c r="A52" t="s">
        <v>198</v>
      </c>
      <c r="B52" t="s">
        <v>151</v>
      </c>
      <c r="C52">
        <f>'21-22'!G50</f>
        <v>206</v>
      </c>
      <c r="D52" s="13">
        <v>8</v>
      </c>
      <c r="E52" s="13">
        <v>1</v>
      </c>
      <c r="F52" s="13">
        <v>2</v>
      </c>
      <c r="G52" s="7">
        <f t="shared" si="1"/>
        <v>217</v>
      </c>
    </row>
    <row r="53" spans="1:7" s="4" customFormat="1" x14ac:dyDescent="0.25">
      <c r="A53" t="s">
        <v>523</v>
      </c>
      <c r="C53">
        <v>0</v>
      </c>
      <c r="D53" s="13">
        <v>15</v>
      </c>
      <c r="E53" s="13">
        <v>0</v>
      </c>
      <c r="F53" s="13">
        <v>6</v>
      </c>
      <c r="G53" s="7">
        <f t="shared" si="1"/>
        <v>21</v>
      </c>
    </row>
    <row r="54" spans="1:7" x14ac:dyDescent="0.25">
      <c r="A54" t="s">
        <v>427</v>
      </c>
      <c r="C54">
        <f>'21-22'!G51</f>
        <v>105</v>
      </c>
      <c r="D54" s="13">
        <v>24</v>
      </c>
      <c r="E54" s="13">
        <v>1</v>
      </c>
      <c r="F54" s="13">
        <v>10</v>
      </c>
      <c r="G54" s="7">
        <f t="shared" si="1"/>
        <v>140</v>
      </c>
    </row>
    <row r="55" spans="1:7" x14ac:dyDescent="0.25">
      <c r="A55" t="s">
        <v>200</v>
      </c>
      <c r="B55" t="s">
        <v>149</v>
      </c>
      <c r="C55">
        <f>'21-22'!G52</f>
        <v>220</v>
      </c>
      <c r="D55" s="13">
        <v>23</v>
      </c>
      <c r="E55" s="13">
        <v>2</v>
      </c>
      <c r="F55" s="13">
        <v>4</v>
      </c>
      <c r="G55" s="7">
        <f t="shared" si="1"/>
        <v>249</v>
      </c>
    </row>
    <row r="56" spans="1:7" x14ac:dyDescent="0.25">
      <c r="A56" t="s">
        <v>351</v>
      </c>
      <c r="B56" t="s">
        <v>149</v>
      </c>
      <c r="C56">
        <f>'21-22'!G53</f>
        <v>124</v>
      </c>
      <c r="D56" s="13">
        <v>22</v>
      </c>
      <c r="E56" s="13">
        <v>0</v>
      </c>
      <c r="F56" s="13">
        <v>9</v>
      </c>
      <c r="G56" s="7">
        <f t="shared" si="1"/>
        <v>155</v>
      </c>
    </row>
    <row r="57" spans="1:7" x14ac:dyDescent="0.25">
      <c r="A57" t="s">
        <v>201</v>
      </c>
      <c r="B57" t="s">
        <v>151</v>
      </c>
      <c r="C57">
        <f>'21-22'!G54</f>
        <v>243</v>
      </c>
      <c r="D57" s="13">
        <v>24</v>
      </c>
      <c r="E57" s="13">
        <v>0</v>
      </c>
      <c r="F57" s="13">
        <v>7</v>
      </c>
      <c r="G57" s="7">
        <f t="shared" si="1"/>
        <v>274</v>
      </c>
    </row>
    <row r="58" spans="1:7" x14ac:dyDescent="0.25">
      <c r="D58" s="13"/>
      <c r="E58" s="13"/>
      <c r="F58" s="13"/>
      <c r="G58" s="7"/>
    </row>
    <row r="60" spans="1:7" x14ac:dyDescent="0.25">
      <c r="A60" s="10" t="s">
        <v>203</v>
      </c>
      <c r="B60" s="10"/>
      <c r="C60" s="11"/>
      <c r="D60" s="10">
        <f>COUNT(D6:D57)</f>
        <v>52</v>
      </c>
      <c r="E60" s="10">
        <f>COUNT(E6:E57)</f>
        <v>52</v>
      </c>
      <c r="F60" s="10">
        <f>COUNT(F6:F57)</f>
        <v>52</v>
      </c>
      <c r="G60" s="10"/>
    </row>
    <row r="61" spans="1:7" x14ac:dyDescent="0.25">
      <c r="A61" s="8" t="s">
        <v>204</v>
      </c>
      <c r="B61" s="8"/>
      <c r="C61" s="9"/>
      <c r="D61" s="8">
        <f>SUM(D6:D55)</f>
        <v>719</v>
      </c>
      <c r="E61" s="8">
        <f>SUM(E6:E55)</f>
        <v>27</v>
      </c>
      <c r="F61" s="8">
        <f>SUM(F6:F55)</f>
        <v>189</v>
      </c>
      <c r="G61" s="8"/>
    </row>
    <row r="64" spans="1:7" x14ac:dyDescent="0.25">
      <c r="A64" t="s">
        <v>205</v>
      </c>
    </row>
  </sheetData>
  <mergeCells count="1">
    <mergeCell ref="E1:G1"/>
  </mergeCells>
  <printOptions gridLines="1"/>
  <pageMargins left="0.48" right="0.19" top="0.43" bottom="0.48" header="0.34" footer="0.25"/>
  <pageSetup paperSize="8" scale="8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67"/>
  <sheetViews>
    <sheetView view="pageBreakPreview" zoomScaleNormal="25" zoomScaleSheetLayoutView="100" workbookViewId="0">
      <pane ySplit="2" topLeftCell="A3" activePane="bottomLeft" state="frozen"/>
      <selection activeCell="A7" sqref="A7"/>
      <selection pane="bottomLeft" activeCell="A7" sqref="A7"/>
    </sheetView>
  </sheetViews>
  <sheetFormatPr baseColWidth="10" defaultColWidth="9.109375" defaultRowHeight="13.2" x14ac:dyDescent="0.25"/>
  <cols>
    <col min="1" max="1" width="18.44140625" customWidth="1"/>
    <col min="2" max="2" width="4.109375" customWidth="1"/>
    <col min="3" max="3" width="5.44140625" customWidth="1"/>
    <col min="4" max="6" width="10.6640625" customWidth="1"/>
    <col min="7" max="7" width="36.5546875" customWidth="1"/>
    <col min="8" max="8" width="5.88671875" bestFit="1" customWidth="1"/>
    <col min="9" max="9" width="5.88671875" customWidth="1"/>
    <col min="10" max="10" width="5.44140625" bestFit="1" customWidth="1"/>
  </cols>
  <sheetData>
    <row r="1" spans="1:7" ht="36.75" customHeight="1" x14ac:dyDescent="0.6">
      <c r="A1" t="s">
        <v>524</v>
      </c>
      <c r="E1" s="100" t="s">
        <v>525</v>
      </c>
      <c r="F1" s="92"/>
      <c r="G1" s="92"/>
    </row>
    <row r="2" spans="1:7" ht="79.5" customHeight="1" x14ac:dyDescent="0.25">
      <c r="A2" s="8"/>
      <c r="B2" s="8"/>
      <c r="C2" s="9"/>
      <c r="D2" s="2" t="s">
        <v>6</v>
      </c>
      <c r="E2" s="2" t="s">
        <v>72</v>
      </c>
      <c r="F2" s="2" t="s">
        <v>71</v>
      </c>
      <c r="G2" s="6" t="s">
        <v>147</v>
      </c>
    </row>
    <row r="3" spans="1:7" ht="12.75" customHeight="1" x14ac:dyDescent="0.25">
      <c r="A3" s="1" t="s">
        <v>14</v>
      </c>
      <c r="C3">
        <f>'22-23'!G3</f>
        <v>78</v>
      </c>
      <c r="D3" s="13">
        <v>21</v>
      </c>
      <c r="E3" s="13">
        <v>1</v>
      </c>
      <c r="F3" s="13">
        <v>3</v>
      </c>
      <c r="G3" s="7">
        <f t="shared" ref="G3:G23" si="0">C3+D3+E3+F3</f>
        <v>103</v>
      </c>
    </row>
    <row r="4" spans="1:7" ht="12.75" customHeight="1" x14ac:dyDescent="0.25">
      <c r="A4" s="1" t="s">
        <v>12</v>
      </c>
      <c r="C4">
        <f>'22-23'!G4</f>
        <v>52</v>
      </c>
      <c r="D4" s="13">
        <v>29</v>
      </c>
      <c r="E4" s="13">
        <v>2</v>
      </c>
      <c r="F4" s="13">
        <v>10</v>
      </c>
      <c r="G4" s="7">
        <f t="shared" si="0"/>
        <v>93</v>
      </c>
    </row>
    <row r="5" spans="1:7" ht="12.75" customHeight="1" x14ac:dyDescent="0.25">
      <c r="A5" s="1" t="s">
        <v>13</v>
      </c>
      <c r="C5">
        <f>'22-23'!G5</f>
        <v>41</v>
      </c>
      <c r="D5" s="13">
        <v>26</v>
      </c>
      <c r="E5" s="13">
        <v>0</v>
      </c>
      <c r="F5" s="13">
        <v>8</v>
      </c>
      <c r="G5" s="7">
        <f t="shared" si="0"/>
        <v>75</v>
      </c>
    </row>
    <row r="6" spans="1:7" ht="12.75" customHeight="1" x14ac:dyDescent="0.25">
      <c r="A6" s="1" t="s">
        <v>17</v>
      </c>
      <c r="C6">
        <f>'22-23'!G6</f>
        <v>59</v>
      </c>
      <c r="D6" s="13">
        <v>22</v>
      </c>
      <c r="E6" s="13">
        <v>1</v>
      </c>
      <c r="F6" s="13">
        <v>4</v>
      </c>
      <c r="G6" s="7">
        <f t="shared" si="0"/>
        <v>86</v>
      </c>
    </row>
    <row r="7" spans="1:7" s="4" customFormat="1" ht="12.75" customHeight="1" x14ac:dyDescent="0.25">
      <c r="A7" s="4" t="s">
        <v>20</v>
      </c>
      <c r="B7" s="4" t="s">
        <v>151</v>
      </c>
      <c r="C7" s="4">
        <f>'22-23'!G7</f>
        <v>140</v>
      </c>
      <c r="D7" s="14">
        <v>10</v>
      </c>
      <c r="E7" s="14">
        <v>1</v>
      </c>
      <c r="F7" s="14">
        <v>2</v>
      </c>
      <c r="G7" s="5">
        <f t="shared" si="0"/>
        <v>153</v>
      </c>
    </row>
    <row r="8" spans="1:7" s="15" customFormat="1" ht="12.75" customHeight="1" x14ac:dyDescent="0.25">
      <c r="A8" s="15" t="s">
        <v>155</v>
      </c>
      <c r="B8" s="15" t="s">
        <v>149</v>
      </c>
      <c r="C8" s="15">
        <f>'22-23'!G8</f>
        <v>242</v>
      </c>
      <c r="D8" s="16">
        <v>18</v>
      </c>
      <c r="E8" s="16">
        <v>1</v>
      </c>
      <c r="F8" s="16">
        <v>3</v>
      </c>
      <c r="G8" s="17">
        <f t="shared" si="0"/>
        <v>264</v>
      </c>
    </row>
    <row r="9" spans="1:7" x14ac:dyDescent="0.25">
      <c r="A9" t="s">
        <v>156</v>
      </c>
      <c r="B9" t="s">
        <v>149</v>
      </c>
      <c r="C9">
        <f>'22-23'!G9</f>
        <v>554</v>
      </c>
      <c r="D9" s="13">
        <v>0</v>
      </c>
      <c r="E9" s="13">
        <v>0</v>
      </c>
      <c r="F9" s="13">
        <v>0</v>
      </c>
      <c r="G9" s="7">
        <f t="shared" si="0"/>
        <v>554</v>
      </c>
    </row>
    <row r="10" spans="1:7" x14ac:dyDescent="0.25">
      <c r="A10" t="s">
        <v>507</v>
      </c>
      <c r="C10">
        <f>'22-23'!G10</f>
        <v>85</v>
      </c>
      <c r="D10" s="13">
        <v>25</v>
      </c>
      <c r="E10" s="13">
        <v>1</v>
      </c>
      <c r="F10" s="13">
        <v>7</v>
      </c>
      <c r="G10" s="7">
        <f t="shared" si="0"/>
        <v>118</v>
      </c>
    </row>
    <row r="11" spans="1:7" s="18" customFormat="1" ht="12.75" customHeight="1" x14ac:dyDescent="0.25">
      <c r="A11" s="18" t="s">
        <v>159</v>
      </c>
      <c r="B11" s="18" t="s">
        <v>151</v>
      </c>
      <c r="C11" s="18">
        <f>'22-23'!G11</f>
        <v>291</v>
      </c>
      <c r="D11" s="19">
        <v>28</v>
      </c>
      <c r="E11" s="19">
        <v>1</v>
      </c>
      <c r="F11" s="19">
        <v>4</v>
      </c>
      <c r="G11" s="20">
        <f t="shared" si="0"/>
        <v>324</v>
      </c>
    </row>
    <row r="12" spans="1:7" x14ac:dyDescent="0.25">
      <c r="A12" t="s">
        <v>161</v>
      </c>
      <c r="B12" t="s">
        <v>151</v>
      </c>
      <c r="C12">
        <f>'22-23'!G12</f>
        <v>389</v>
      </c>
      <c r="D12" s="13">
        <v>0</v>
      </c>
      <c r="E12" s="13">
        <v>0</v>
      </c>
      <c r="F12" s="13">
        <v>0</v>
      </c>
      <c r="G12" s="7">
        <f t="shared" si="0"/>
        <v>389</v>
      </c>
    </row>
    <row r="13" spans="1:7" s="4" customFormat="1" x14ac:dyDescent="0.25">
      <c r="A13" s="4" t="s">
        <v>496</v>
      </c>
      <c r="C13" s="4">
        <f>'22-23'!G13</f>
        <v>121</v>
      </c>
      <c r="D13" s="14">
        <v>25</v>
      </c>
      <c r="E13" s="14">
        <v>2</v>
      </c>
      <c r="F13" s="14">
        <v>6</v>
      </c>
      <c r="G13" s="5">
        <f t="shared" si="0"/>
        <v>154</v>
      </c>
    </row>
    <row r="14" spans="1:7" x14ac:dyDescent="0.25">
      <c r="A14" t="s">
        <v>520</v>
      </c>
      <c r="C14">
        <f>'22-23'!G14</f>
        <v>15</v>
      </c>
      <c r="D14" s="13">
        <v>27</v>
      </c>
      <c r="E14" s="13">
        <v>1</v>
      </c>
      <c r="F14" s="13">
        <v>8</v>
      </c>
      <c r="G14" s="7">
        <f t="shared" si="0"/>
        <v>51</v>
      </c>
    </row>
    <row r="15" spans="1:7" x14ac:dyDescent="0.25">
      <c r="A15" t="s">
        <v>508</v>
      </c>
      <c r="C15">
        <f>'22-23'!G15</f>
        <v>75</v>
      </c>
      <c r="D15" s="13">
        <v>30</v>
      </c>
      <c r="E15" s="13">
        <v>1</v>
      </c>
      <c r="F15" s="13">
        <v>5</v>
      </c>
      <c r="G15" s="7">
        <f t="shared" si="0"/>
        <v>111</v>
      </c>
    </row>
    <row r="16" spans="1:7" s="4" customFormat="1" x14ac:dyDescent="0.25">
      <c r="A16" s="4" t="s">
        <v>509</v>
      </c>
      <c r="C16" s="4">
        <f>'22-23'!G16</f>
        <v>133</v>
      </c>
      <c r="D16" s="14">
        <v>23</v>
      </c>
      <c r="E16" s="14">
        <v>1</v>
      </c>
      <c r="F16" s="14">
        <v>5</v>
      </c>
      <c r="G16" s="5">
        <f t="shared" si="0"/>
        <v>162</v>
      </c>
    </row>
    <row r="17" spans="1:7" x14ac:dyDescent="0.25">
      <c r="A17" t="s">
        <v>165</v>
      </c>
      <c r="B17" t="s">
        <v>149</v>
      </c>
      <c r="C17">
        <f>'22-23'!G17</f>
        <v>303</v>
      </c>
      <c r="D17" s="13">
        <v>25</v>
      </c>
      <c r="E17" s="13">
        <v>0</v>
      </c>
      <c r="F17" s="13">
        <v>4</v>
      </c>
      <c r="G17" s="7">
        <f t="shared" si="0"/>
        <v>332</v>
      </c>
    </row>
    <row r="18" spans="1:7" x14ac:dyDescent="0.25">
      <c r="A18" t="s">
        <v>168</v>
      </c>
      <c r="B18" t="s">
        <v>151</v>
      </c>
      <c r="C18">
        <f>'22-23'!G18</f>
        <v>335</v>
      </c>
      <c r="D18" s="13">
        <v>11</v>
      </c>
      <c r="E18" s="13">
        <v>0</v>
      </c>
      <c r="F18" s="13">
        <v>1</v>
      </c>
      <c r="G18" s="7">
        <f t="shared" si="0"/>
        <v>347</v>
      </c>
    </row>
    <row r="19" spans="1:7" x14ac:dyDescent="0.25">
      <c r="A19" s="1" t="s">
        <v>344</v>
      </c>
      <c r="B19" s="1" t="s">
        <v>149</v>
      </c>
      <c r="C19">
        <f>'22-23'!G19</f>
        <v>163</v>
      </c>
      <c r="D19" s="13">
        <v>18</v>
      </c>
      <c r="E19" s="13">
        <v>0</v>
      </c>
      <c r="F19" s="13">
        <v>5</v>
      </c>
      <c r="G19" s="7">
        <f t="shared" si="0"/>
        <v>186</v>
      </c>
    </row>
    <row r="20" spans="1:7" s="4" customFormat="1" x14ac:dyDescent="0.25">
      <c r="A20" s="21" t="s">
        <v>510</v>
      </c>
      <c r="B20" s="21"/>
      <c r="C20" s="4">
        <f>'22-23'!G20</f>
        <v>135</v>
      </c>
      <c r="D20" s="14">
        <v>30</v>
      </c>
      <c r="E20" s="14">
        <v>1</v>
      </c>
      <c r="F20" s="14">
        <v>7</v>
      </c>
      <c r="G20" s="5">
        <f t="shared" si="0"/>
        <v>173</v>
      </c>
    </row>
    <row r="21" spans="1:7" x14ac:dyDescent="0.25">
      <c r="A21" s="1" t="s">
        <v>511</v>
      </c>
      <c r="B21" s="1"/>
      <c r="C21">
        <f>'22-23'!G21</f>
        <v>44</v>
      </c>
      <c r="D21" s="13">
        <v>0</v>
      </c>
      <c r="E21" s="13">
        <v>0</v>
      </c>
      <c r="F21" s="13">
        <v>1</v>
      </c>
      <c r="G21" s="7">
        <f t="shared" si="0"/>
        <v>45</v>
      </c>
    </row>
    <row r="22" spans="1:7" x14ac:dyDescent="0.25">
      <c r="A22" s="1" t="s">
        <v>512</v>
      </c>
      <c r="B22" s="1"/>
      <c r="C22">
        <f>'22-23'!G22</f>
        <v>370</v>
      </c>
      <c r="D22" s="13">
        <v>0</v>
      </c>
      <c r="E22" s="13">
        <v>0</v>
      </c>
      <c r="F22" s="13">
        <v>0</v>
      </c>
      <c r="G22" s="7">
        <f t="shared" si="0"/>
        <v>370</v>
      </c>
    </row>
    <row r="23" spans="1:7" x14ac:dyDescent="0.25">
      <c r="A23" s="1" t="s">
        <v>513</v>
      </c>
      <c r="B23" s="1"/>
      <c r="C23">
        <f>'22-23'!G23</f>
        <v>37</v>
      </c>
      <c r="D23" s="13">
        <v>1</v>
      </c>
      <c r="E23" s="13">
        <v>0</v>
      </c>
      <c r="F23" s="13">
        <v>3</v>
      </c>
      <c r="G23" s="7">
        <f t="shared" si="0"/>
        <v>41</v>
      </c>
    </row>
    <row r="24" spans="1:7" x14ac:dyDescent="0.25">
      <c r="A24" s="1" t="s">
        <v>526</v>
      </c>
      <c r="B24" s="1"/>
      <c r="D24" s="13">
        <v>2</v>
      </c>
      <c r="E24" s="13"/>
      <c r="F24" s="13"/>
      <c r="G24" s="7"/>
    </row>
    <row r="25" spans="1:7" x14ac:dyDescent="0.25">
      <c r="A25" t="s">
        <v>345</v>
      </c>
      <c r="C25">
        <f>'22-23'!G24</f>
        <v>112</v>
      </c>
      <c r="D25" s="13">
        <v>28</v>
      </c>
      <c r="E25" s="13">
        <v>1</v>
      </c>
      <c r="F25" s="13">
        <v>5</v>
      </c>
      <c r="G25" s="7">
        <f t="shared" ref="G25:G60" si="1">C25+D25+E25+F25</f>
        <v>146</v>
      </c>
    </row>
    <row r="26" spans="1:7" x14ac:dyDescent="0.25">
      <c r="A26" s="1" t="s">
        <v>498</v>
      </c>
      <c r="C26">
        <f>'22-23'!G25</f>
        <v>119</v>
      </c>
      <c r="D26" s="13">
        <v>23</v>
      </c>
      <c r="E26" s="13">
        <v>1</v>
      </c>
      <c r="F26" s="13">
        <v>3</v>
      </c>
      <c r="G26" s="7">
        <f t="shared" si="1"/>
        <v>146</v>
      </c>
    </row>
    <row r="27" spans="1:7" x14ac:dyDescent="0.25">
      <c r="A27" s="1" t="s">
        <v>527</v>
      </c>
      <c r="C27">
        <v>0</v>
      </c>
      <c r="D27" s="13">
        <v>27</v>
      </c>
      <c r="E27" s="13">
        <v>1</v>
      </c>
      <c r="F27" s="13">
        <v>3</v>
      </c>
      <c r="G27" s="7">
        <f t="shared" si="1"/>
        <v>31</v>
      </c>
    </row>
    <row r="28" spans="1:7" x14ac:dyDescent="0.25">
      <c r="A28" s="1" t="s">
        <v>514</v>
      </c>
      <c r="C28">
        <f>'22-23'!G26</f>
        <v>51</v>
      </c>
      <c r="D28" s="13">
        <v>17</v>
      </c>
      <c r="E28" s="13">
        <v>0</v>
      </c>
      <c r="F28" s="13">
        <v>2</v>
      </c>
      <c r="G28" s="7">
        <f t="shared" si="1"/>
        <v>70</v>
      </c>
    </row>
    <row r="29" spans="1:7" x14ac:dyDescent="0.25">
      <c r="A29" t="s">
        <v>176</v>
      </c>
      <c r="B29" t="s">
        <v>151</v>
      </c>
      <c r="C29">
        <f>'22-23'!G27</f>
        <v>402</v>
      </c>
      <c r="D29" s="13">
        <v>9</v>
      </c>
      <c r="E29" s="13">
        <v>0</v>
      </c>
      <c r="F29" s="13">
        <v>2</v>
      </c>
      <c r="G29" s="7">
        <f t="shared" si="1"/>
        <v>413</v>
      </c>
    </row>
    <row r="30" spans="1:7" x14ac:dyDescent="0.25">
      <c r="A30" t="s">
        <v>521</v>
      </c>
      <c r="C30">
        <f>'22-23'!G28</f>
        <v>46</v>
      </c>
      <c r="D30" s="13">
        <v>29</v>
      </c>
      <c r="E30" s="13">
        <v>1</v>
      </c>
      <c r="F30" s="13">
        <v>3</v>
      </c>
      <c r="G30" s="7">
        <f t="shared" si="1"/>
        <v>79</v>
      </c>
    </row>
    <row r="31" spans="1:7" x14ac:dyDescent="0.25">
      <c r="A31" t="s">
        <v>499</v>
      </c>
      <c r="C31">
        <f>'22-23'!G29</f>
        <v>66</v>
      </c>
      <c r="D31" s="13">
        <v>0</v>
      </c>
      <c r="E31" s="13">
        <v>0</v>
      </c>
      <c r="F31" s="13">
        <v>0</v>
      </c>
      <c r="G31" s="7">
        <f t="shared" si="1"/>
        <v>66</v>
      </c>
    </row>
    <row r="32" spans="1:7" s="4" customFormat="1" x14ac:dyDescent="0.25">
      <c r="A32" s="4" t="s">
        <v>177</v>
      </c>
      <c r="B32" s="4" t="s">
        <v>149</v>
      </c>
      <c r="C32" s="4">
        <f>'22-23'!G30</f>
        <v>137</v>
      </c>
      <c r="D32" s="14">
        <v>12</v>
      </c>
      <c r="E32" s="14">
        <v>1</v>
      </c>
      <c r="F32" s="14">
        <v>3</v>
      </c>
      <c r="G32" s="5">
        <f t="shared" si="1"/>
        <v>153</v>
      </c>
    </row>
    <row r="33" spans="1:7" x14ac:dyDescent="0.25">
      <c r="A33" t="s">
        <v>425</v>
      </c>
      <c r="C33">
        <f>'22-23'!G31</f>
        <v>113</v>
      </c>
      <c r="D33" s="13">
        <v>25</v>
      </c>
      <c r="E33" s="13">
        <v>2</v>
      </c>
      <c r="F33" s="13">
        <v>3</v>
      </c>
      <c r="G33" s="7">
        <f t="shared" si="1"/>
        <v>143</v>
      </c>
    </row>
    <row r="34" spans="1:7" x14ac:dyDescent="0.25">
      <c r="A34" t="s">
        <v>178</v>
      </c>
      <c r="B34" t="s">
        <v>149</v>
      </c>
      <c r="C34">
        <f>'22-23'!G32</f>
        <v>324</v>
      </c>
      <c r="D34" s="13">
        <v>15</v>
      </c>
      <c r="E34" s="13">
        <v>1</v>
      </c>
      <c r="F34" s="13">
        <v>1</v>
      </c>
      <c r="G34" s="7">
        <f t="shared" si="1"/>
        <v>341</v>
      </c>
    </row>
    <row r="35" spans="1:7" x14ac:dyDescent="0.25">
      <c r="A35" t="s">
        <v>179</v>
      </c>
      <c r="B35" t="s">
        <v>151</v>
      </c>
      <c r="C35">
        <f>'22-23'!G33</f>
        <v>264</v>
      </c>
      <c r="D35" s="13">
        <v>0</v>
      </c>
      <c r="E35" s="13">
        <v>0</v>
      </c>
      <c r="F35" s="13">
        <v>0</v>
      </c>
      <c r="G35" s="7">
        <f t="shared" si="1"/>
        <v>264</v>
      </c>
    </row>
    <row r="36" spans="1:7" x14ac:dyDescent="0.25">
      <c r="A36" t="s">
        <v>271</v>
      </c>
      <c r="B36" t="s">
        <v>151</v>
      </c>
      <c r="C36">
        <f>'22-23'!G34</f>
        <v>115</v>
      </c>
      <c r="D36" s="13">
        <v>6</v>
      </c>
      <c r="E36" s="13">
        <v>1</v>
      </c>
      <c r="F36" s="13">
        <v>2</v>
      </c>
      <c r="G36" s="7">
        <f t="shared" si="1"/>
        <v>124</v>
      </c>
    </row>
    <row r="37" spans="1:7" s="23" customFormat="1" x14ac:dyDescent="0.25">
      <c r="A37" s="22" t="s">
        <v>348</v>
      </c>
      <c r="B37" s="22" t="s">
        <v>149</v>
      </c>
      <c r="C37" s="23">
        <f>'22-23'!G35</f>
        <v>189</v>
      </c>
      <c r="D37" s="24">
        <v>21</v>
      </c>
      <c r="E37" s="24">
        <v>1</v>
      </c>
      <c r="F37" s="24">
        <v>5</v>
      </c>
      <c r="G37" s="25">
        <f t="shared" si="1"/>
        <v>216</v>
      </c>
    </row>
    <row r="38" spans="1:7" x14ac:dyDescent="0.25">
      <c r="A38" t="s">
        <v>182</v>
      </c>
      <c r="B38" t="s">
        <v>151</v>
      </c>
      <c r="C38">
        <f>'22-23'!G36</f>
        <v>231</v>
      </c>
      <c r="D38" s="13">
        <v>5</v>
      </c>
      <c r="E38" s="13">
        <v>0</v>
      </c>
      <c r="F38" s="13">
        <v>0</v>
      </c>
      <c r="G38" s="7">
        <f t="shared" si="1"/>
        <v>236</v>
      </c>
    </row>
    <row r="39" spans="1:7" x14ac:dyDescent="0.25">
      <c r="A39" t="s">
        <v>516</v>
      </c>
      <c r="C39">
        <f>'22-23'!G37</f>
        <v>107</v>
      </c>
      <c r="D39" s="13">
        <v>11</v>
      </c>
      <c r="E39" s="13">
        <v>0</v>
      </c>
      <c r="F39" s="13">
        <v>3</v>
      </c>
      <c r="G39" s="7">
        <f t="shared" si="1"/>
        <v>121</v>
      </c>
    </row>
    <row r="40" spans="1:7" x14ac:dyDescent="0.25">
      <c r="A40" t="s">
        <v>500</v>
      </c>
      <c r="C40">
        <f>'22-23'!G38</f>
        <v>56</v>
      </c>
      <c r="D40" s="13">
        <v>0</v>
      </c>
      <c r="E40" s="13">
        <v>0</v>
      </c>
      <c r="F40" s="13">
        <v>0</v>
      </c>
      <c r="G40" s="7">
        <f t="shared" si="1"/>
        <v>56</v>
      </c>
    </row>
    <row r="41" spans="1:7" x14ac:dyDescent="0.25">
      <c r="A41" t="s">
        <v>501</v>
      </c>
      <c r="C41">
        <f>'22-23'!G39</f>
        <v>90</v>
      </c>
      <c r="D41" s="13">
        <v>0</v>
      </c>
      <c r="E41" s="13">
        <v>0</v>
      </c>
      <c r="F41" s="13">
        <v>0</v>
      </c>
      <c r="G41" s="7">
        <f t="shared" si="1"/>
        <v>90</v>
      </c>
    </row>
    <row r="42" spans="1:7" x14ac:dyDescent="0.25">
      <c r="A42" t="s">
        <v>522</v>
      </c>
      <c r="C42">
        <f>'22-23'!G40</f>
        <v>20</v>
      </c>
      <c r="D42" s="13">
        <v>21</v>
      </c>
      <c r="E42" s="13">
        <v>0</v>
      </c>
      <c r="F42" s="13">
        <v>3</v>
      </c>
      <c r="G42" s="7">
        <f t="shared" si="1"/>
        <v>44</v>
      </c>
    </row>
    <row r="43" spans="1:7" x14ac:dyDescent="0.25">
      <c r="A43" t="s">
        <v>187</v>
      </c>
      <c r="B43" t="s">
        <v>149</v>
      </c>
      <c r="C43">
        <f>'22-23'!G41</f>
        <v>123</v>
      </c>
      <c r="D43" s="13">
        <v>8</v>
      </c>
      <c r="E43" s="13">
        <v>1</v>
      </c>
      <c r="F43" s="13">
        <v>1</v>
      </c>
      <c r="G43" s="7">
        <f t="shared" si="1"/>
        <v>133</v>
      </c>
    </row>
    <row r="44" spans="1:7" x14ac:dyDescent="0.25">
      <c r="A44" t="s">
        <v>272</v>
      </c>
      <c r="B44" t="s">
        <v>151</v>
      </c>
      <c r="C44">
        <f>'22-23'!G42</f>
        <v>226</v>
      </c>
      <c r="D44" s="13">
        <v>0</v>
      </c>
      <c r="E44" s="13">
        <v>0</v>
      </c>
      <c r="F44" s="13">
        <v>0</v>
      </c>
      <c r="G44" s="7">
        <f t="shared" si="1"/>
        <v>226</v>
      </c>
    </row>
    <row r="45" spans="1:7" x14ac:dyDescent="0.25">
      <c r="A45" t="s">
        <v>52</v>
      </c>
      <c r="C45">
        <f>'22-23'!G43</f>
        <v>368</v>
      </c>
      <c r="D45" s="13">
        <v>27</v>
      </c>
      <c r="E45" s="13">
        <v>1</v>
      </c>
      <c r="F45" s="13">
        <v>3</v>
      </c>
      <c r="G45" s="7">
        <f t="shared" si="1"/>
        <v>399</v>
      </c>
    </row>
    <row r="46" spans="1:7" x14ac:dyDescent="0.25">
      <c r="A46" t="s">
        <v>190</v>
      </c>
      <c r="B46" t="s">
        <v>151</v>
      </c>
      <c r="C46">
        <f>'22-23'!G44</f>
        <v>273</v>
      </c>
      <c r="D46" s="13">
        <v>6</v>
      </c>
      <c r="E46" s="13">
        <v>0</v>
      </c>
      <c r="F46" s="13">
        <v>2</v>
      </c>
      <c r="G46" s="7">
        <f t="shared" si="1"/>
        <v>281</v>
      </c>
    </row>
    <row r="47" spans="1:7" x14ac:dyDescent="0.25">
      <c r="A47" t="s">
        <v>192</v>
      </c>
      <c r="B47" t="s">
        <v>149</v>
      </c>
      <c r="C47">
        <f>'22-23'!G45</f>
        <v>383</v>
      </c>
      <c r="D47" s="13">
        <v>0</v>
      </c>
      <c r="E47" s="13">
        <v>0</v>
      </c>
      <c r="F47" s="13">
        <v>0</v>
      </c>
      <c r="G47" s="7">
        <f t="shared" si="1"/>
        <v>383</v>
      </c>
    </row>
    <row r="48" spans="1:7" s="4" customFormat="1" x14ac:dyDescent="0.25">
      <c r="A48" s="21" t="s">
        <v>517</v>
      </c>
      <c r="C48" s="4">
        <f>'22-23'!G46</f>
        <v>128</v>
      </c>
      <c r="D48" s="14">
        <v>28</v>
      </c>
      <c r="E48" s="14">
        <v>0</v>
      </c>
      <c r="F48" s="14">
        <v>5</v>
      </c>
      <c r="G48" s="5">
        <f t="shared" si="1"/>
        <v>161</v>
      </c>
    </row>
    <row r="49" spans="1:7" x14ac:dyDescent="0.25">
      <c r="A49" s="1" t="s">
        <v>426</v>
      </c>
      <c r="B49" s="1" t="s">
        <v>151</v>
      </c>
      <c r="C49">
        <f>'22-23'!G47</f>
        <v>156</v>
      </c>
      <c r="D49" s="13">
        <v>26</v>
      </c>
      <c r="E49" s="13">
        <v>1</v>
      </c>
      <c r="F49" s="13">
        <v>4</v>
      </c>
      <c r="G49" s="7">
        <f t="shared" si="1"/>
        <v>187</v>
      </c>
    </row>
    <row r="50" spans="1:7" s="18" customFormat="1" x14ac:dyDescent="0.25">
      <c r="A50" s="18" t="s">
        <v>193</v>
      </c>
      <c r="B50" s="18" t="s">
        <v>151</v>
      </c>
      <c r="C50" s="18">
        <f>'22-23'!G48</f>
        <v>271</v>
      </c>
      <c r="D50" s="19">
        <v>28</v>
      </c>
      <c r="E50" s="19">
        <v>1</v>
      </c>
      <c r="F50" s="19">
        <v>7</v>
      </c>
      <c r="G50" s="20">
        <f t="shared" si="1"/>
        <v>307</v>
      </c>
    </row>
    <row r="51" spans="1:7" x14ac:dyDescent="0.25">
      <c r="A51" t="s">
        <v>518</v>
      </c>
      <c r="C51">
        <f>'22-23'!G49</f>
        <v>66</v>
      </c>
      <c r="D51" s="13">
        <v>13</v>
      </c>
      <c r="E51" s="13">
        <v>1</v>
      </c>
      <c r="F51" s="13">
        <v>4</v>
      </c>
      <c r="G51" s="7">
        <f t="shared" si="1"/>
        <v>84</v>
      </c>
    </row>
    <row r="52" spans="1:7" x14ac:dyDescent="0.25">
      <c r="A52" t="s">
        <v>350</v>
      </c>
      <c r="C52">
        <f>'22-23'!G50</f>
        <v>49</v>
      </c>
      <c r="D52" s="13">
        <v>0</v>
      </c>
      <c r="E52" s="13">
        <v>0</v>
      </c>
      <c r="F52" s="13">
        <v>0</v>
      </c>
      <c r="G52" s="7">
        <f t="shared" si="1"/>
        <v>49</v>
      </c>
    </row>
    <row r="53" spans="1:7" s="26" customFormat="1" x14ac:dyDescent="0.25">
      <c r="A53" s="26" t="s">
        <v>196</v>
      </c>
      <c r="B53" s="26" t="s">
        <v>149</v>
      </c>
      <c r="C53" s="26">
        <f>'22-23'!G51</f>
        <v>465</v>
      </c>
      <c r="D53" s="27">
        <v>25</v>
      </c>
      <c r="E53" s="27">
        <v>1</v>
      </c>
      <c r="F53" s="27">
        <v>9</v>
      </c>
      <c r="G53" s="28">
        <f t="shared" si="1"/>
        <v>500</v>
      </c>
    </row>
    <row r="54" spans="1:7" x14ac:dyDescent="0.25">
      <c r="A54" t="s">
        <v>198</v>
      </c>
      <c r="B54" t="s">
        <v>151</v>
      </c>
      <c r="C54">
        <f>'22-23'!G52</f>
        <v>217</v>
      </c>
      <c r="D54" s="13">
        <v>4</v>
      </c>
      <c r="E54" s="13">
        <v>0</v>
      </c>
      <c r="F54" s="13">
        <v>0</v>
      </c>
      <c r="G54" s="7">
        <f t="shared" si="1"/>
        <v>221</v>
      </c>
    </row>
    <row r="55" spans="1:7" x14ac:dyDescent="0.25">
      <c r="A55" t="s">
        <v>523</v>
      </c>
      <c r="C55">
        <f>'22-23'!G53</f>
        <v>21</v>
      </c>
      <c r="D55" s="13">
        <v>0</v>
      </c>
      <c r="E55" s="13">
        <v>0</v>
      </c>
      <c r="F55" s="13">
        <v>0</v>
      </c>
      <c r="G55" s="7">
        <f t="shared" si="1"/>
        <v>21</v>
      </c>
    </row>
    <row r="56" spans="1:7" x14ac:dyDescent="0.25">
      <c r="A56" t="s">
        <v>427</v>
      </c>
      <c r="C56">
        <f>'22-23'!G54</f>
        <v>140</v>
      </c>
      <c r="D56" s="13">
        <v>0</v>
      </c>
      <c r="E56" s="13">
        <v>0</v>
      </c>
      <c r="F56" s="13">
        <v>0</v>
      </c>
      <c r="G56" s="7">
        <f t="shared" si="1"/>
        <v>140</v>
      </c>
    </row>
    <row r="57" spans="1:7" x14ac:dyDescent="0.25">
      <c r="A57" t="s">
        <v>528</v>
      </c>
      <c r="C57">
        <v>0</v>
      </c>
      <c r="D57" s="13">
        <v>28</v>
      </c>
      <c r="E57" s="13">
        <v>1</v>
      </c>
      <c r="F57" s="13">
        <v>4</v>
      </c>
      <c r="G57" s="7">
        <f t="shared" si="1"/>
        <v>33</v>
      </c>
    </row>
    <row r="58" spans="1:7" s="15" customFormat="1" x14ac:dyDescent="0.25">
      <c r="A58" s="15" t="s">
        <v>200</v>
      </c>
      <c r="B58" s="15" t="s">
        <v>149</v>
      </c>
      <c r="C58" s="15">
        <f>'22-23'!G55</f>
        <v>249</v>
      </c>
      <c r="D58" s="16">
        <v>11</v>
      </c>
      <c r="E58" s="16">
        <v>1</v>
      </c>
      <c r="F58" s="16">
        <v>2</v>
      </c>
      <c r="G58" s="17">
        <f t="shared" si="1"/>
        <v>263</v>
      </c>
    </row>
    <row r="59" spans="1:7" x14ac:dyDescent="0.25">
      <c r="A59" t="s">
        <v>351</v>
      </c>
      <c r="B59" t="s">
        <v>149</v>
      </c>
      <c r="C59">
        <f>'22-23'!G56</f>
        <v>155</v>
      </c>
      <c r="D59" s="13">
        <v>0</v>
      </c>
      <c r="E59" s="13">
        <v>0</v>
      </c>
      <c r="F59" s="13">
        <v>2</v>
      </c>
      <c r="G59" s="7">
        <f t="shared" si="1"/>
        <v>157</v>
      </c>
    </row>
    <row r="60" spans="1:7" s="18" customFormat="1" x14ac:dyDescent="0.25">
      <c r="A60" s="18" t="s">
        <v>201</v>
      </c>
      <c r="B60" s="18" t="s">
        <v>151</v>
      </c>
      <c r="C60" s="18">
        <f>'22-23'!G57</f>
        <v>274</v>
      </c>
      <c r="D60" s="19">
        <v>19</v>
      </c>
      <c r="E60" s="19">
        <v>0</v>
      </c>
      <c r="F60" s="19">
        <v>8</v>
      </c>
      <c r="G60" s="20">
        <f t="shared" si="1"/>
        <v>301</v>
      </c>
    </row>
    <row r="61" spans="1:7" x14ac:dyDescent="0.25">
      <c r="D61" s="13"/>
      <c r="E61" s="13"/>
      <c r="F61" s="13"/>
      <c r="G61" s="7"/>
    </row>
    <row r="63" spans="1:7" x14ac:dyDescent="0.25">
      <c r="A63" s="10" t="s">
        <v>203</v>
      </c>
      <c r="B63" s="10"/>
      <c r="C63" s="11"/>
      <c r="D63" s="10">
        <f>COUNT(D6:D60)</f>
        <v>55</v>
      </c>
      <c r="E63" s="10">
        <f>COUNT(E6:E60)</f>
        <v>54</v>
      </c>
      <c r="F63" s="10">
        <f>COUNT(F6:F60)</f>
        <v>54</v>
      </c>
      <c r="G63" s="10"/>
    </row>
    <row r="64" spans="1:7" x14ac:dyDescent="0.25">
      <c r="A64" s="8" t="s">
        <v>204</v>
      </c>
      <c r="B64" s="8"/>
      <c r="C64" s="9"/>
      <c r="D64" s="8">
        <f>SUM(D6:D58)</f>
        <v>748</v>
      </c>
      <c r="E64" s="8">
        <f>SUM(E6:E58)</f>
        <v>29</v>
      </c>
      <c r="F64" s="8">
        <f>SUM(F6:F58)</f>
        <v>144</v>
      </c>
      <c r="G64" s="8"/>
    </row>
    <row r="67" spans="1:1" x14ac:dyDescent="0.25">
      <c r="A67" t="s">
        <v>205</v>
      </c>
    </row>
  </sheetData>
  <mergeCells count="1">
    <mergeCell ref="E1:G1"/>
  </mergeCells>
  <printOptions gridLines="1"/>
  <pageMargins left="0.48" right="0.19" top="0.43" bottom="0.48" header="0.34" footer="0.25"/>
  <pageSetup paperSize="8" scale="8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64"/>
  <sheetViews>
    <sheetView workbookViewId="0">
      <pane xSplit="1" ySplit="7" topLeftCell="B44" activePane="bottomRight" state="frozen"/>
      <selection pane="topRight"/>
      <selection pane="bottomLeft"/>
      <selection pane="bottomRight" activeCell="C8" sqref="C8:E57"/>
    </sheetView>
  </sheetViews>
  <sheetFormatPr baseColWidth="10" defaultColWidth="11.44140625" defaultRowHeight="12.75" customHeight="1" x14ac:dyDescent="0.25"/>
  <cols>
    <col min="1" max="1" width="20.33203125" customWidth="1"/>
    <col min="2" max="2" width="15.44140625" customWidth="1"/>
    <col min="3" max="4" width="13.5546875" customWidth="1"/>
    <col min="5" max="6" width="13.33203125" customWidth="1"/>
    <col min="7" max="8" width="12.5546875" customWidth="1"/>
  </cols>
  <sheetData>
    <row r="1" spans="1:18" ht="23.4" customHeight="1" x14ac:dyDescent="0.25">
      <c r="A1" s="36"/>
      <c r="B1" s="102" t="s">
        <v>0</v>
      </c>
      <c r="C1" s="87"/>
      <c r="D1" s="87"/>
      <c r="E1" s="29"/>
      <c r="F1" s="29"/>
      <c r="G1" s="29"/>
      <c r="H1" s="29"/>
      <c r="I1" s="29"/>
      <c r="J1" s="38"/>
      <c r="K1" s="38"/>
      <c r="L1" s="38"/>
      <c r="M1" s="38"/>
      <c r="N1" s="38"/>
      <c r="O1" s="38"/>
      <c r="P1" s="38"/>
      <c r="Q1" s="38"/>
      <c r="R1" s="38"/>
    </row>
    <row r="2" spans="1:18" ht="23.4" customHeight="1" x14ac:dyDescent="0.25">
      <c r="A2" s="36"/>
      <c r="B2" s="34"/>
      <c r="C2" s="34"/>
      <c r="D2" s="29"/>
      <c r="E2" s="29"/>
      <c r="F2" s="29"/>
      <c r="G2" s="29"/>
      <c r="H2" s="29"/>
      <c r="I2" s="29"/>
      <c r="J2" s="38"/>
      <c r="K2" s="38"/>
      <c r="L2" s="38"/>
      <c r="M2" s="38"/>
      <c r="N2" s="38"/>
      <c r="O2" s="38"/>
      <c r="P2" s="38"/>
      <c r="Q2" s="38"/>
      <c r="R2" s="38"/>
    </row>
    <row r="3" spans="1:18" ht="23.4" customHeight="1" x14ac:dyDescent="0.25">
      <c r="A3" s="35"/>
      <c r="B3" s="101" t="s">
        <v>1</v>
      </c>
      <c r="C3" s="87"/>
      <c r="D3" s="87"/>
      <c r="E3" s="29"/>
      <c r="F3" s="29"/>
      <c r="G3" s="29"/>
      <c r="H3" s="29"/>
      <c r="I3" s="37" t="s">
        <v>2</v>
      </c>
      <c r="J3" s="39">
        <v>150</v>
      </c>
      <c r="K3" s="39">
        <v>200</v>
      </c>
      <c r="L3" s="39">
        <v>250</v>
      </c>
      <c r="M3" s="39">
        <v>300</v>
      </c>
      <c r="N3" s="39">
        <v>350</v>
      </c>
      <c r="O3" s="39">
        <v>400</v>
      </c>
      <c r="P3" s="39">
        <v>450</v>
      </c>
      <c r="Q3" s="39">
        <v>500</v>
      </c>
      <c r="R3" s="39">
        <v>550</v>
      </c>
    </row>
    <row r="4" spans="1:18" ht="22.5" customHeight="1" x14ac:dyDescent="0.25">
      <c r="A4" s="35"/>
      <c r="B4" s="101" t="s">
        <v>529</v>
      </c>
      <c r="C4" s="87"/>
      <c r="D4" s="87"/>
      <c r="E4" s="29"/>
      <c r="F4" s="29"/>
      <c r="G4" s="29"/>
      <c r="H4" s="29"/>
      <c r="I4" s="37" t="s">
        <v>4</v>
      </c>
      <c r="J4" s="38">
        <f>COUNTIF($I$8:$I$57,"150")</f>
        <v>3</v>
      </c>
      <c r="K4" s="38">
        <f>COUNTIF($I$8:$I$57,"200")</f>
        <v>2</v>
      </c>
      <c r="L4" s="38">
        <f>COUNTIF($I$8:$I$57,"250")</f>
        <v>0</v>
      </c>
      <c r="M4" s="38">
        <f>COUNTIF($I$8:$I$57,"300")</f>
        <v>0</v>
      </c>
      <c r="N4" s="38">
        <f>COUNTIF($I$8:$I$57,"350")</f>
        <v>4</v>
      </c>
      <c r="O4" s="38">
        <f>COUNTIF($I$8:$I$57,"400")</f>
        <v>1</v>
      </c>
      <c r="P4" s="38">
        <f>COUNTIF($I$8:$I$57,"450")</f>
        <v>0</v>
      </c>
      <c r="Q4" s="38">
        <f>COUNTIF($I$8:$I$57,"500")</f>
        <v>0</v>
      </c>
      <c r="R4" s="38">
        <f>COUNTIF($I$8:$I$57,"550")</f>
        <v>0</v>
      </c>
    </row>
    <row r="5" spans="1:18" ht="22.5" customHeight="1" x14ac:dyDescent="0.25">
      <c r="A5" s="35"/>
      <c r="B5" s="40"/>
      <c r="C5" s="40"/>
      <c r="D5" s="40"/>
      <c r="E5" s="29"/>
      <c r="F5" s="29"/>
      <c r="G5" s="29"/>
      <c r="H5" s="29"/>
      <c r="I5" s="29"/>
      <c r="J5" s="38"/>
      <c r="K5" s="38"/>
      <c r="L5" s="38"/>
      <c r="M5" s="38"/>
      <c r="N5" s="38"/>
      <c r="O5" s="38"/>
      <c r="P5" s="38"/>
      <c r="Q5" s="38"/>
      <c r="R5" s="38"/>
    </row>
    <row r="6" spans="1:18" ht="23.4" customHeight="1" x14ac:dyDescent="0.25">
      <c r="A6" s="36"/>
      <c r="B6" s="103" t="s">
        <v>5</v>
      </c>
      <c r="C6" s="30"/>
      <c r="D6" s="29"/>
      <c r="E6" s="29"/>
      <c r="F6" s="29"/>
      <c r="G6" s="29"/>
      <c r="H6" s="103" t="s">
        <v>5</v>
      </c>
      <c r="I6" s="29"/>
      <c r="J6" s="38"/>
      <c r="K6" s="38"/>
      <c r="L6" s="38"/>
      <c r="M6" s="38"/>
      <c r="N6" s="38"/>
      <c r="O6" s="38"/>
      <c r="P6" s="38"/>
      <c r="Q6" s="38"/>
      <c r="R6" s="38"/>
    </row>
    <row r="7" spans="1:18" ht="13.95" customHeight="1" x14ac:dyDescent="0.25">
      <c r="A7" s="35"/>
      <c r="B7" s="87"/>
      <c r="C7" s="31" t="s">
        <v>6</v>
      </c>
      <c r="D7" s="31" t="s">
        <v>7</v>
      </c>
      <c r="E7" s="31" t="s">
        <v>8</v>
      </c>
      <c r="F7" s="31" t="s">
        <v>9</v>
      </c>
      <c r="G7" s="31" t="s">
        <v>10</v>
      </c>
      <c r="H7" s="87"/>
      <c r="I7" s="31" t="s">
        <v>11</v>
      </c>
      <c r="J7" s="38"/>
      <c r="K7" s="38"/>
      <c r="L7" s="38"/>
      <c r="M7" s="38"/>
      <c r="N7" s="38"/>
      <c r="O7" s="38"/>
      <c r="P7" s="38"/>
      <c r="Q7" s="38"/>
      <c r="R7" s="38"/>
    </row>
    <row r="8" spans="1:18" ht="13.2" customHeight="1" x14ac:dyDescent="0.25">
      <c r="A8" s="1" t="s">
        <v>12</v>
      </c>
      <c r="B8">
        <v>93</v>
      </c>
      <c r="C8">
        <v>24</v>
      </c>
      <c r="D8">
        <v>1</v>
      </c>
      <c r="E8">
        <v>4</v>
      </c>
      <c r="F8">
        <v>0</v>
      </c>
      <c r="G8">
        <f t="shared" ref="G8:G39" si="0">SUM(C8:F8)</f>
        <v>29</v>
      </c>
      <c r="H8">
        <f t="shared" ref="H8:H39" si="1">B8+G8</f>
        <v>122</v>
      </c>
      <c r="I8" s="32"/>
    </row>
    <row r="9" spans="1:18" ht="13.2" customHeight="1" x14ac:dyDescent="0.25">
      <c r="A9" s="1" t="s">
        <v>13</v>
      </c>
      <c r="B9">
        <v>75</v>
      </c>
      <c r="C9">
        <v>27</v>
      </c>
      <c r="D9">
        <v>1</v>
      </c>
      <c r="E9">
        <v>4</v>
      </c>
      <c r="F9">
        <v>0</v>
      </c>
      <c r="G9">
        <f t="shared" si="0"/>
        <v>32</v>
      </c>
      <c r="H9">
        <f t="shared" si="1"/>
        <v>107</v>
      </c>
      <c r="I9" s="32"/>
    </row>
    <row r="10" spans="1:18" ht="13.2" customHeight="1" x14ac:dyDescent="0.25">
      <c r="A10" s="1" t="s">
        <v>14</v>
      </c>
      <c r="B10">
        <v>103</v>
      </c>
      <c r="C10">
        <v>14</v>
      </c>
      <c r="D10">
        <v>1</v>
      </c>
      <c r="E10">
        <v>3</v>
      </c>
      <c r="F10">
        <v>0</v>
      </c>
      <c r="G10">
        <f t="shared" si="0"/>
        <v>18</v>
      </c>
      <c r="H10">
        <f t="shared" si="1"/>
        <v>121</v>
      </c>
      <c r="I10" s="32"/>
    </row>
    <row r="11" spans="1:18" ht="13.2" customHeight="1" x14ac:dyDescent="0.25">
      <c r="A11" s="1" t="s">
        <v>15</v>
      </c>
      <c r="B11">
        <v>0</v>
      </c>
      <c r="C11">
        <v>15</v>
      </c>
      <c r="D11">
        <v>0</v>
      </c>
      <c r="E11">
        <v>0</v>
      </c>
      <c r="F11">
        <v>0</v>
      </c>
      <c r="G11">
        <f t="shared" si="0"/>
        <v>15</v>
      </c>
      <c r="H11">
        <f t="shared" si="1"/>
        <v>15</v>
      </c>
      <c r="I11" s="32"/>
    </row>
    <row r="12" spans="1:18" ht="13.2" customHeight="1" x14ac:dyDescent="0.25">
      <c r="A12" s="1" t="s">
        <v>16</v>
      </c>
      <c r="B12">
        <v>0</v>
      </c>
      <c r="C12">
        <v>19</v>
      </c>
      <c r="F12">
        <v>1</v>
      </c>
      <c r="G12">
        <f t="shared" si="0"/>
        <v>20</v>
      </c>
      <c r="H12">
        <f t="shared" si="1"/>
        <v>20</v>
      </c>
      <c r="I12" s="32"/>
    </row>
    <row r="13" spans="1:18" ht="13.2" customHeight="1" x14ac:dyDescent="0.25">
      <c r="A13" s="1" t="s">
        <v>17</v>
      </c>
      <c r="B13">
        <v>86</v>
      </c>
      <c r="C13">
        <v>11</v>
      </c>
      <c r="D13">
        <v>1</v>
      </c>
      <c r="E13">
        <v>1</v>
      </c>
      <c r="F13">
        <v>0</v>
      </c>
      <c r="G13">
        <f t="shared" si="0"/>
        <v>13</v>
      </c>
      <c r="H13">
        <f t="shared" si="1"/>
        <v>99</v>
      </c>
      <c r="I13" s="32"/>
    </row>
    <row r="14" spans="1:18" ht="13.2" customHeight="1" x14ac:dyDescent="0.25">
      <c r="A14" s="1" t="s">
        <v>20</v>
      </c>
      <c r="B14">
        <v>153</v>
      </c>
      <c r="C14">
        <v>2</v>
      </c>
      <c r="D14">
        <v>0</v>
      </c>
      <c r="E14">
        <v>0</v>
      </c>
      <c r="F14">
        <v>0</v>
      </c>
      <c r="G14">
        <f t="shared" si="0"/>
        <v>2</v>
      </c>
      <c r="H14">
        <f t="shared" si="1"/>
        <v>155</v>
      </c>
      <c r="I14" s="32"/>
    </row>
    <row r="15" spans="1:18" ht="13.2" customHeight="1" x14ac:dyDescent="0.25">
      <c r="A15" s="1" t="s">
        <v>21</v>
      </c>
      <c r="B15">
        <v>264</v>
      </c>
      <c r="C15">
        <v>17</v>
      </c>
      <c r="D15">
        <v>1</v>
      </c>
      <c r="E15">
        <v>2</v>
      </c>
      <c r="F15">
        <v>1</v>
      </c>
      <c r="G15">
        <f t="shared" si="0"/>
        <v>21</v>
      </c>
      <c r="H15">
        <f t="shared" si="1"/>
        <v>285</v>
      </c>
      <c r="I15" s="32"/>
    </row>
    <row r="16" spans="1:18" ht="13.2" customHeight="1" x14ac:dyDescent="0.25">
      <c r="A16" s="1" t="s">
        <v>22</v>
      </c>
      <c r="B16">
        <v>118</v>
      </c>
      <c r="C16">
        <v>0</v>
      </c>
      <c r="D16">
        <v>0</v>
      </c>
      <c r="E16">
        <v>2</v>
      </c>
      <c r="F16">
        <v>0</v>
      </c>
      <c r="G16">
        <f t="shared" si="0"/>
        <v>2</v>
      </c>
      <c r="H16">
        <f t="shared" si="1"/>
        <v>120</v>
      </c>
      <c r="I16" s="32"/>
    </row>
    <row r="17" spans="1:9" ht="13.2" customHeight="1" x14ac:dyDescent="0.25">
      <c r="A17" s="1" t="s">
        <v>23</v>
      </c>
      <c r="B17">
        <v>45</v>
      </c>
      <c r="C17">
        <v>21</v>
      </c>
      <c r="D17">
        <v>1</v>
      </c>
      <c r="E17">
        <v>4</v>
      </c>
      <c r="F17">
        <v>1</v>
      </c>
      <c r="G17">
        <f t="shared" si="0"/>
        <v>27</v>
      </c>
      <c r="H17">
        <f t="shared" si="1"/>
        <v>72</v>
      </c>
      <c r="I17" s="32"/>
    </row>
    <row r="18" spans="1:9" ht="13.2" customHeight="1" x14ac:dyDescent="0.25">
      <c r="A18" s="1" t="s">
        <v>24</v>
      </c>
      <c r="B18">
        <v>51</v>
      </c>
      <c r="C18">
        <v>1</v>
      </c>
      <c r="D18">
        <v>0</v>
      </c>
      <c r="E18">
        <v>0</v>
      </c>
      <c r="F18">
        <v>0</v>
      </c>
      <c r="G18">
        <f t="shared" si="0"/>
        <v>1</v>
      </c>
      <c r="H18">
        <f t="shared" si="1"/>
        <v>52</v>
      </c>
      <c r="I18" s="32"/>
    </row>
    <row r="19" spans="1:9" ht="13.2" customHeight="1" x14ac:dyDescent="0.25">
      <c r="A19" s="1" t="s">
        <v>25</v>
      </c>
      <c r="B19">
        <v>324</v>
      </c>
      <c r="C19">
        <v>25</v>
      </c>
      <c r="D19">
        <v>1</v>
      </c>
      <c r="E19">
        <v>6</v>
      </c>
      <c r="F19">
        <v>0</v>
      </c>
      <c r="G19">
        <f t="shared" si="0"/>
        <v>32</v>
      </c>
      <c r="H19">
        <f t="shared" si="1"/>
        <v>356</v>
      </c>
      <c r="I19" s="33">
        <v>350</v>
      </c>
    </row>
    <row r="20" spans="1:9" ht="13.2" customHeight="1" x14ac:dyDescent="0.25">
      <c r="A20" s="1" t="s">
        <v>26</v>
      </c>
      <c r="B20">
        <v>389</v>
      </c>
      <c r="C20">
        <v>2</v>
      </c>
      <c r="D20">
        <v>1</v>
      </c>
      <c r="E20">
        <v>0</v>
      </c>
      <c r="F20">
        <v>0</v>
      </c>
      <c r="G20">
        <f t="shared" si="0"/>
        <v>3</v>
      </c>
      <c r="H20">
        <f t="shared" si="1"/>
        <v>392</v>
      </c>
      <c r="I20" s="33"/>
    </row>
    <row r="21" spans="1:9" ht="13.2" customHeight="1" x14ac:dyDescent="0.25">
      <c r="A21" s="1" t="s">
        <v>27</v>
      </c>
      <c r="B21">
        <v>154</v>
      </c>
      <c r="C21">
        <v>21</v>
      </c>
      <c r="D21">
        <v>1</v>
      </c>
      <c r="E21">
        <v>3</v>
      </c>
      <c r="F21">
        <v>2</v>
      </c>
      <c r="G21">
        <f t="shared" si="0"/>
        <v>27</v>
      </c>
      <c r="H21">
        <f t="shared" si="1"/>
        <v>181</v>
      </c>
      <c r="I21" s="33"/>
    </row>
    <row r="22" spans="1:9" ht="13.2" customHeight="1" x14ac:dyDescent="0.25">
      <c r="A22" s="1" t="s">
        <v>28</v>
      </c>
      <c r="B22">
        <v>51</v>
      </c>
      <c r="C22">
        <v>26</v>
      </c>
      <c r="D22">
        <v>0</v>
      </c>
      <c r="E22">
        <v>5</v>
      </c>
      <c r="F22">
        <v>1</v>
      </c>
      <c r="G22">
        <f t="shared" si="0"/>
        <v>32</v>
      </c>
      <c r="H22">
        <f t="shared" si="1"/>
        <v>83</v>
      </c>
      <c r="I22" s="33"/>
    </row>
    <row r="23" spans="1:9" ht="13.2" customHeight="1" x14ac:dyDescent="0.25">
      <c r="A23" s="1" t="s">
        <v>29</v>
      </c>
      <c r="B23">
        <v>111</v>
      </c>
      <c r="C23">
        <v>22</v>
      </c>
      <c r="D23">
        <v>1</v>
      </c>
      <c r="E23">
        <v>4</v>
      </c>
      <c r="F23">
        <v>2</v>
      </c>
      <c r="G23">
        <f t="shared" si="0"/>
        <v>29</v>
      </c>
      <c r="H23">
        <f t="shared" si="1"/>
        <v>140</v>
      </c>
      <c r="I23" s="33"/>
    </row>
    <row r="24" spans="1:9" ht="13.2" customHeight="1" x14ac:dyDescent="0.25">
      <c r="A24" s="1" t="s">
        <v>30</v>
      </c>
      <c r="B24">
        <v>162</v>
      </c>
      <c r="C24">
        <v>26</v>
      </c>
      <c r="D24">
        <v>1</v>
      </c>
      <c r="E24">
        <v>5</v>
      </c>
      <c r="F24">
        <v>2</v>
      </c>
      <c r="G24">
        <f t="shared" si="0"/>
        <v>34</v>
      </c>
      <c r="H24">
        <f t="shared" si="1"/>
        <v>196</v>
      </c>
      <c r="I24" s="33"/>
    </row>
    <row r="25" spans="1:9" ht="13.2" customHeight="1" x14ac:dyDescent="0.25">
      <c r="A25" s="1" t="s">
        <v>31</v>
      </c>
      <c r="B25">
        <v>332</v>
      </c>
      <c r="C25">
        <v>25</v>
      </c>
      <c r="D25">
        <v>0</v>
      </c>
      <c r="E25">
        <v>5</v>
      </c>
      <c r="F25">
        <v>2</v>
      </c>
      <c r="G25">
        <f t="shared" si="0"/>
        <v>32</v>
      </c>
      <c r="H25">
        <f t="shared" si="1"/>
        <v>364</v>
      </c>
      <c r="I25" s="33">
        <v>350</v>
      </c>
    </row>
    <row r="26" spans="1:9" ht="13.2" customHeight="1" x14ac:dyDescent="0.25">
      <c r="A26" s="1" t="s">
        <v>32</v>
      </c>
      <c r="B26">
        <v>347</v>
      </c>
      <c r="C26">
        <v>17</v>
      </c>
      <c r="D26">
        <v>0</v>
      </c>
      <c r="E26">
        <v>0</v>
      </c>
      <c r="F26">
        <v>0</v>
      </c>
      <c r="G26">
        <f t="shared" si="0"/>
        <v>17</v>
      </c>
      <c r="H26">
        <f t="shared" si="1"/>
        <v>364</v>
      </c>
      <c r="I26" s="33">
        <v>350</v>
      </c>
    </row>
    <row r="27" spans="1:9" ht="13.2" customHeight="1" x14ac:dyDescent="0.25">
      <c r="A27" t="s">
        <v>33</v>
      </c>
      <c r="B27">
        <v>0</v>
      </c>
      <c r="C27">
        <v>2</v>
      </c>
      <c r="D27">
        <v>0</v>
      </c>
      <c r="E27">
        <v>0</v>
      </c>
      <c r="F27">
        <v>0</v>
      </c>
      <c r="G27">
        <f t="shared" si="0"/>
        <v>2</v>
      </c>
      <c r="H27">
        <f t="shared" si="1"/>
        <v>2</v>
      </c>
    </row>
    <row r="28" spans="1:9" ht="13.2" customHeight="1" x14ac:dyDescent="0.25">
      <c r="A28" s="1" t="s">
        <v>34</v>
      </c>
      <c r="B28">
        <v>173</v>
      </c>
      <c r="C28">
        <v>25</v>
      </c>
      <c r="D28">
        <v>0</v>
      </c>
      <c r="E28">
        <v>4</v>
      </c>
      <c r="F28">
        <v>1</v>
      </c>
      <c r="G28">
        <f t="shared" si="0"/>
        <v>30</v>
      </c>
      <c r="H28">
        <f t="shared" si="1"/>
        <v>203</v>
      </c>
      <c r="I28" s="33">
        <v>200</v>
      </c>
    </row>
    <row r="29" spans="1:9" ht="13.2" customHeight="1" x14ac:dyDescent="0.25">
      <c r="A29" s="1" t="s">
        <v>35</v>
      </c>
      <c r="B29">
        <v>146</v>
      </c>
      <c r="C29">
        <v>12</v>
      </c>
      <c r="D29">
        <v>1</v>
      </c>
      <c r="E29">
        <v>3</v>
      </c>
      <c r="F29">
        <v>2</v>
      </c>
      <c r="G29">
        <f t="shared" si="0"/>
        <v>18</v>
      </c>
      <c r="H29">
        <f t="shared" si="1"/>
        <v>164</v>
      </c>
      <c r="I29" s="33">
        <v>150</v>
      </c>
    </row>
    <row r="30" spans="1:9" ht="13.2" customHeight="1" x14ac:dyDescent="0.25">
      <c r="A30" s="1" t="s">
        <v>36</v>
      </c>
      <c r="B30">
        <v>413</v>
      </c>
      <c r="C30">
        <v>1</v>
      </c>
      <c r="D30">
        <v>0</v>
      </c>
      <c r="E30">
        <v>0</v>
      </c>
      <c r="F30">
        <v>0</v>
      </c>
      <c r="G30">
        <f t="shared" si="0"/>
        <v>1</v>
      </c>
      <c r="H30">
        <f t="shared" si="1"/>
        <v>414</v>
      </c>
      <c r="I30" s="33"/>
    </row>
    <row r="31" spans="1:9" ht="13.2" customHeight="1" x14ac:dyDescent="0.25">
      <c r="A31" s="1" t="s">
        <v>37</v>
      </c>
      <c r="B31">
        <v>79</v>
      </c>
      <c r="C31">
        <v>26</v>
      </c>
      <c r="D31">
        <v>0</v>
      </c>
      <c r="E31">
        <v>3</v>
      </c>
      <c r="F31">
        <v>1</v>
      </c>
      <c r="G31">
        <f t="shared" si="0"/>
        <v>30</v>
      </c>
      <c r="H31">
        <f t="shared" si="1"/>
        <v>109</v>
      </c>
      <c r="I31" s="33"/>
    </row>
    <row r="32" spans="1:9" ht="13.2" customHeight="1" x14ac:dyDescent="0.25">
      <c r="A32" s="1" t="s">
        <v>38</v>
      </c>
      <c r="B32">
        <v>70</v>
      </c>
      <c r="C32">
        <v>16</v>
      </c>
      <c r="D32">
        <v>0</v>
      </c>
      <c r="E32">
        <v>1</v>
      </c>
      <c r="F32">
        <v>0</v>
      </c>
      <c r="G32">
        <f t="shared" si="0"/>
        <v>17</v>
      </c>
      <c r="H32">
        <f t="shared" si="1"/>
        <v>87</v>
      </c>
      <c r="I32" s="33"/>
    </row>
    <row r="33" spans="1:9" ht="13.2" customHeight="1" x14ac:dyDescent="0.25">
      <c r="A33" s="1" t="s">
        <v>39</v>
      </c>
      <c r="B33">
        <v>146</v>
      </c>
      <c r="C33">
        <v>18</v>
      </c>
      <c r="D33">
        <v>1</v>
      </c>
      <c r="E33">
        <v>2</v>
      </c>
      <c r="F33">
        <v>0</v>
      </c>
      <c r="G33">
        <f t="shared" si="0"/>
        <v>21</v>
      </c>
      <c r="H33">
        <f t="shared" si="1"/>
        <v>167</v>
      </c>
      <c r="I33" s="33">
        <v>150</v>
      </c>
    </row>
    <row r="34" spans="1:9" ht="13.2" customHeight="1" x14ac:dyDescent="0.25">
      <c r="A34" s="1" t="s">
        <v>40</v>
      </c>
      <c r="B34">
        <v>31</v>
      </c>
      <c r="C34">
        <v>25</v>
      </c>
      <c r="D34">
        <v>0</v>
      </c>
      <c r="E34">
        <v>4</v>
      </c>
      <c r="F34">
        <v>2</v>
      </c>
      <c r="G34">
        <f t="shared" si="0"/>
        <v>31</v>
      </c>
      <c r="H34">
        <f t="shared" si="1"/>
        <v>62</v>
      </c>
      <c r="I34" s="33"/>
    </row>
    <row r="35" spans="1:9" ht="13.2" customHeight="1" x14ac:dyDescent="0.25">
      <c r="A35" s="1" t="s">
        <v>41</v>
      </c>
      <c r="B35">
        <v>0</v>
      </c>
      <c r="C35">
        <v>3</v>
      </c>
      <c r="D35">
        <v>0</v>
      </c>
      <c r="E35">
        <v>0</v>
      </c>
      <c r="F35">
        <v>0</v>
      </c>
      <c r="G35">
        <f t="shared" si="0"/>
        <v>3</v>
      </c>
      <c r="H35">
        <f t="shared" si="1"/>
        <v>3</v>
      </c>
      <c r="I35" s="33"/>
    </row>
    <row r="36" spans="1:9" ht="13.2" customHeight="1" x14ac:dyDescent="0.25">
      <c r="A36" s="1" t="s">
        <v>42</v>
      </c>
      <c r="B36">
        <v>153</v>
      </c>
      <c r="C36">
        <v>12</v>
      </c>
      <c r="D36">
        <v>1</v>
      </c>
      <c r="E36">
        <v>3</v>
      </c>
      <c r="F36">
        <v>2</v>
      </c>
      <c r="G36">
        <f t="shared" si="0"/>
        <v>18</v>
      </c>
      <c r="H36">
        <f t="shared" si="1"/>
        <v>171</v>
      </c>
      <c r="I36" s="33"/>
    </row>
    <row r="37" spans="1:9" ht="13.2" customHeight="1" x14ac:dyDescent="0.25">
      <c r="A37" s="1" t="s">
        <v>43</v>
      </c>
      <c r="B37">
        <v>143</v>
      </c>
      <c r="C37">
        <v>23</v>
      </c>
      <c r="D37">
        <v>1</v>
      </c>
      <c r="E37">
        <v>4</v>
      </c>
      <c r="F37">
        <v>0</v>
      </c>
      <c r="G37">
        <f t="shared" si="0"/>
        <v>28</v>
      </c>
      <c r="H37">
        <f t="shared" si="1"/>
        <v>171</v>
      </c>
      <c r="I37" s="33">
        <v>150</v>
      </c>
    </row>
    <row r="38" spans="1:9" ht="13.2" customHeight="1" x14ac:dyDescent="0.25">
      <c r="A38" s="1" t="s">
        <v>44</v>
      </c>
      <c r="B38">
        <v>341</v>
      </c>
      <c r="C38">
        <v>16</v>
      </c>
      <c r="D38">
        <v>0</v>
      </c>
      <c r="E38">
        <v>5</v>
      </c>
      <c r="F38">
        <v>0</v>
      </c>
      <c r="G38">
        <f t="shared" si="0"/>
        <v>21</v>
      </c>
      <c r="H38">
        <f t="shared" si="1"/>
        <v>362</v>
      </c>
      <c r="I38" s="33">
        <v>350</v>
      </c>
    </row>
    <row r="39" spans="1:9" ht="13.2" customHeight="1" x14ac:dyDescent="0.25">
      <c r="A39" s="1" t="s">
        <v>46</v>
      </c>
      <c r="B39">
        <v>124</v>
      </c>
      <c r="C39">
        <v>3</v>
      </c>
      <c r="D39">
        <v>0</v>
      </c>
      <c r="E39">
        <v>0</v>
      </c>
      <c r="F39">
        <v>0</v>
      </c>
      <c r="G39">
        <f t="shared" si="0"/>
        <v>3</v>
      </c>
      <c r="H39">
        <f t="shared" si="1"/>
        <v>127</v>
      </c>
      <c r="I39" s="33"/>
    </row>
    <row r="40" spans="1:9" ht="13.2" customHeight="1" x14ac:dyDescent="0.25">
      <c r="A40" s="1" t="s">
        <v>47</v>
      </c>
      <c r="B40">
        <v>216</v>
      </c>
      <c r="C40">
        <v>2</v>
      </c>
      <c r="D40">
        <v>1</v>
      </c>
      <c r="E40">
        <v>2</v>
      </c>
      <c r="F40">
        <v>0</v>
      </c>
      <c r="G40">
        <f t="shared" ref="G40:G57" si="2">SUM(C40:F40)</f>
        <v>5</v>
      </c>
      <c r="H40">
        <f t="shared" ref="H40:H57" si="3">B40+G40</f>
        <v>221</v>
      </c>
      <c r="I40" s="33"/>
    </row>
    <row r="41" spans="1:9" ht="13.2" customHeight="1" x14ac:dyDescent="0.25">
      <c r="A41" s="1" t="s">
        <v>48</v>
      </c>
      <c r="B41">
        <v>121</v>
      </c>
      <c r="C41">
        <v>21</v>
      </c>
      <c r="D41">
        <v>1</v>
      </c>
      <c r="E41">
        <v>4</v>
      </c>
      <c r="F41">
        <v>0</v>
      </c>
      <c r="G41">
        <f t="shared" si="2"/>
        <v>26</v>
      </c>
      <c r="H41">
        <f t="shared" si="3"/>
        <v>147</v>
      </c>
      <c r="I41" s="33"/>
    </row>
    <row r="42" spans="1:9" ht="13.2" customHeight="1" x14ac:dyDescent="0.25">
      <c r="A42" s="1" t="s">
        <v>49</v>
      </c>
      <c r="B42">
        <v>236</v>
      </c>
      <c r="C42">
        <v>3</v>
      </c>
      <c r="D42">
        <v>0</v>
      </c>
      <c r="E42">
        <v>0</v>
      </c>
      <c r="F42">
        <v>0</v>
      </c>
      <c r="G42">
        <f t="shared" si="2"/>
        <v>3</v>
      </c>
      <c r="H42">
        <f t="shared" si="3"/>
        <v>239</v>
      </c>
      <c r="I42" s="33"/>
    </row>
    <row r="43" spans="1:9" ht="13.2" customHeight="1" x14ac:dyDescent="0.25">
      <c r="A43" s="1" t="s">
        <v>50</v>
      </c>
      <c r="B43">
        <v>44</v>
      </c>
      <c r="C43">
        <v>2</v>
      </c>
      <c r="D43">
        <v>0</v>
      </c>
      <c r="E43">
        <v>1</v>
      </c>
      <c r="F43">
        <v>0</v>
      </c>
      <c r="G43">
        <f t="shared" si="2"/>
        <v>3</v>
      </c>
      <c r="H43">
        <f t="shared" si="3"/>
        <v>47</v>
      </c>
      <c r="I43" s="33"/>
    </row>
    <row r="44" spans="1:9" ht="13.2" customHeight="1" x14ac:dyDescent="0.25">
      <c r="A44" s="1" t="s">
        <v>51</v>
      </c>
      <c r="B44">
        <v>133</v>
      </c>
      <c r="C44">
        <v>15</v>
      </c>
      <c r="D44">
        <v>0</v>
      </c>
      <c r="E44">
        <v>0</v>
      </c>
      <c r="F44">
        <v>0</v>
      </c>
      <c r="G44">
        <f t="shared" si="2"/>
        <v>15</v>
      </c>
      <c r="H44">
        <f t="shared" si="3"/>
        <v>148</v>
      </c>
      <c r="I44" s="33"/>
    </row>
    <row r="45" spans="1:9" ht="13.2" customHeight="1" x14ac:dyDescent="0.25">
      <c r="A45" s="1" t="s">
        <v>52</v>
      </c>
      <c r="B45">
        <v>399</v>
      </c>
      <c r="C45">
        <v>20</v>
      </c>
      <c r="D45">
        <v>0</v>
      </c>
      <c r="E45">
        <v>3</v>
      </c>
      <c r="F45">
        <v>1</v>
      </c>
      <c r="G45">
        <f t="shared" si="2"/>
        <v>24</v>
      </c>
      <c r="H45">
        <f t="shared" si="3"/>
        <v>423</v>
      </c>
      <c r="I45" s="33">
        <v>400</v>
      </c>
    </row>
    <row r="46" spans="1:9" ht="13.2" customHeight="1" x14ac:dyDescent="0.25">
      <c r="A46" s="1" t="s">
        <v>53</v>
      </c>
      <c r="B46">
        <v>281</v>
      </c>
      <c r="C46">
        <v>10</v>
      </c>
      <c r="D46">
        <v>0</v>
      </c>
      <c r="E46">
        <v>0</v>
      </c>
      <c r="F46">
        <v>2</v>
      </c>
      <c r="G46">
        <f t="shared" si="2"/>
        <v>12</v>
      </c>
      <c r="H46">
        <f t="shared" si="3"/>
        <v>293</v>
      </c>
      <c r="I46" s="33"/>
    </row>
    <row r="47" spans="1:9" ht="13.2" customHeight="1" x14ac:dyDescent="0.25">
      <c r="A47" s="1" t="s">
        <v>54</v>
      </c>
      <c r="B47">
        <v>161</v>
      </c>
      <c r="C47">
        <v>15</v>
      </c>
      <c r="D47">
        <v>1</v>
      </c>
      <c r="E47">
        <v>4</v>
      </c>
      <c r="F47">
        <v>2</v>
      </c>
      <c r="G47">
        <f t="shared" si="2"/>
        <v>22</v>
      </c>
      <c r="H47">
        <f t="shared" si="3"/>
        <v>183</v>
      </c>
      <c r="I47" s="33"/>
    </row>
    <row r="48" spans="1:9" ht="13.2" customHeight="1" x14ac:dyDescent="0.25">
      <c r="A48" s="1" t="s">
        <v>55</v>
      </c>
      <c r="B48">
        <v>187</v>
      </c>
      <c r="C48">
        <v>27</v>
      </c>
      <c r="D48">
        <v>1</v>
      </c>
      <c r="E48">
        <v>6</v>
      </c>
      <c r="F48">
        <v>2</v>
      </c>
      <c r="G48">
        <f t="shared" si="2"/>
        <v>36</v>
      </c>
      <c r="H48">
        <f t="shared" si="3"/>
        <v>223</v>
      </c>
      <c r="I48" s="33">
        <v>200</v>
      </c>
    </row>
    <row r="49" spans="1:9" ht="13.2" customHeight="1" x14ac:dyDescent="0.25">
      <c r="A49" s="1" t="s">
        <v>56</v>
      </c>
      <c r="B49">
        <v>307</v>
      </c>
      <c r="C49">
        <v>7</v>
      </c>
      <c r="D49">
        <v>0</v>
      </c>
      <c r="E49">
        <v>3</v>
      </c>
      <c r="F49">
        <v>1</v>
      </c>
      <c r="G49">
        <f t="shared" si="2"/>
        <v>11</v>
      </c>
      <c r="H49">
        <f t="shared" si="3"/>
        <v>318</v>
      </c>
      <c r="I49" s="32"/>
    </row>
    <row r="50" spans="1:9" ht="13.2" customHeight="1" x14ac:dyDescent="0.25">
      <c r="A50" s="1" t="s">
        <v>57</v>
      </c>
      <c r="B50">
        <v>84</v>
      </c>
      <c r="C50">
        <v>6</v>
      </c>
      <c r="D50">
        <v>0</v>
      </c>
      <c r="E50">
        <v>0</v>
      </c>
      <c r="F50">
        <v>0</v>
      </c>
      <c r="G50">
        <f t="shared" si="2"/>
        <v>6</v>
      </c>
      <c r="H50">
        <f t="shared" si="3"/>
        <v>90</v>
      </c>
      <c r="I50" s="32"/>
    </row>
    <row r="51" spans="1:9" ht="13.2" customHeight="1" x14ac:dyDescent="0.25">
      <c r="A51" s="1" t="s">
        <v>58</v>
      </c>
      <c r="B51">
        <v>164</v>
      </c>
      <c r="C51">
        <v>3</v>
      </c>
      <c r="D51">
        <v>0</v>
      </c>
      <c r="E51">
        <v>0</v>
      </c>
      <c r="F51">
        <v>0</v>
      </c>
      <c r="G51">
        <f t="shared" si="2"/>
        <v>3</v>
      </c>
      <c r="H51">
        <f t="shared" si="3"/>
        <v>167</v>
      </c>
      <c r="I51" s="32"/>
    </row>
    <row r="52" spans="1:9" ht="13.2" customHeight="1" x14ac:dyDescent="0.25">
      <c r="A52" s="1" t="s">
        <v>59</v>
      </c>
      <c r="B52">
        <v>49</v>
      </c>
      <c r="C52">
        <v>1</v>
      </c>
      <c r="D52">
        <v>0</v>
      </c>
      <c r="E52">
        <v>0</v>
      </c>
      <c r="F52">
        <v>0</v>
      </c>
      <c r="G52">
        <f t="shared" si="2"/>
        <v>1</v>
      </c>
      <c r="H52">
        <f t="shared" si="3"/>
        <v>50</v>
      </c>
      <c r="I52" s="32"/>
    </row>
    <row r="53" spans="1:9" ht="13.2" customHeight="1" x14ac:dyDescent="0.25">
      <c r="A53" s="1" t="s">
        <v>60</v>
      </c>
      <c r="B53">
        <v>500</v>
      </c>
      <c r="C53">
        <v>23</v>
      </c>
      <c r="D53">
        <v>1</v>
      </c>
      <c r="E53">
        <v>6</v>
      </c>
      <c r="F53">
        <v>0</v>
      </c>
      <c r="G53">
        <f t="shared" si="2"/>
        <v>30</v>
      </c>
      <c r="H53">
        <f t="shared" si="3"/>
        <v>530</v>
      </c>
      <c r="I53" s="32"/>
    </row>
    <row r="54" spans="1:9" ht="13.2" customHeight="1" x14ac:dyDescent="0.25">
      <c r="A54" s="1" t="s">
        <v>61</v>
      </c>
      <c r="B54">
        <v>263</v>
      </c>
      <c r="C54">
        <v>22</v>
      </c>
      <c r="D54">
        <v>0</v>
      </c>
      <c r="E54">
        <v>4</v>
      </c>
      <c r="F54">
        <v>0</v>
      </c>
      <c r="G54">
        <f t="shared" si="2"/>
        <v>26</v>
      </c>
      <c r="H54">
        <f t="shared" si="3"/>
        <v>289</v>
      </c>
      <c r="I54" s="32"/>
    </row>
    <row r="55" spans="1:9" ht="13.2" customHeight="1" x14ac:dyDescent="0.25">
      <c r="A55" s="1" t="s">
        <v>62</v>
      </c>
      <c r="B55">
        <v>157</v>
      </c>
      <c r="C55">
        <v>9</v>
      </c>
      <c r="D55">
        <v>0</v>
      </c>
      <c r="E55">
        <v>2</v>
      </c>
      <c r="F55">
        <v>0</v>
      </c>
      <c r="G55">
        <f t="shared" si="2"/>
        <v>11</v>
      </c>
      <c r="H55">
        <f t="shared" si="3"/>
        <v>168</v>
      </c>
      <c r="I55" s="32"/>
    </row>
    <row r="56" spans="1:9" ht="13.2" customHeight="1" x14ac:dyDescent="0.25">
      <c r="A56" s="1" t="s">
        <v>63</v>
      </c>
      <c r="B56">
        <v>301</v>
      </c>
      <c r="C56">
        <v>24</v>
      </c>
      <c r="D56">
        <v>1</v>
      </c>
      <c r="E56">
        <v>4</v>
      </c>
      <c r="F56">
        <v>0</v>
      </c>
      <c r="G56">
        <f t="shared" si="2"/>
        <v>29</v>
      </c>
      <c r="H56">
        <f t="shared" si="3"/>
        <v>330</v>
      </c>
      <c r="I56" s="32"/>
    </row>
    <row r="57" spans="1:9" ht="13.2" customHeight="1" x14ac:dyDescent="0.25">
      <c r="A57" s="1" t="s">
        <v>64</v>
      </c>
      <c r="B57">
        <v>0</v>
      </c>
      <c r="C57">
        <v>26</v>
      </c>
      <c r="D57">
        <v>1</v>
      </c>
      <c r="E57">
        <v>6</v>
      </c>
      <c r="F57">
        <v>2</v>
      </c>
      <c r="G57">
        <f t="shared" si="2"/>
        <v>35</v>
      </c>
      <c r="H57">
        <f t="shared" si="3"/>
        <v>35</v>
      </c>
      <c r="I57" s="32"/>
    </row>
    <row r="62" spans="1:9" ht="41.25" customHeight="1" x14ac:dyDescent="0.25">
      <c r="B62" s="73" t="s">
        <v>65</v>
      </c>
      <c r="C62" s="72" t="s">
        <v>66</v>
      </c>
    </row>
    <row r="64" spans="1:9" ht="12.75" customHeight="1" x14ac:dyDescent="0.25">
      <c r="B64" s="74" t="s">
        <v>67</v>
      </c>
    </row>
  </sheetData>
  <mergeCells count="5">
    <mergeCell ref="B3:D3"/>
    <mergeCell ref="B1:D1"/>
    <mergeCell ref="B4:D4"/>
    <mergeCell ref="H6:H7"/>
    <mergeCell ref="B6:B7"/>
  </mergeCells>
  <conditionalFormatting sqref="A8:R58">
    <cfRule type="expression" dxfId="1" priority="1">
      <formula>MOD(ROW(),2)=0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66"/>
  <sheetViews>
    <sheetView tabSelected="1" zoomScale="85" zoomScaleNormal="85" workbookViewId="0">
      <pane xSplit="1" ySplit="7" topLeftCell="B46" activePane="bottomRight" state="frozen"/>
      <selection pane="topRight" activeCell="B1" sqref="B1"/>
      <selection pane="bottomLeft" activeCell="A8" sqref="A8"/>
      <selection pane="bottomRight" activeCell="A19" sqref="A19"/>
    </sheetView>
  </sheetViews>
  <sheetFormatPr baseColWidth="10" defaultColWidth="11.44140625" defaultRowHeight="13.2" x14ac:dyDescent="0.25"/>
  <cols>
    <col min="1" max="1" width="20.33203125" customWidth="1"/>
    <col min="2" max="2" width="15.44140625" customWidth="1"/>
    <col min="3" max="4" width="13.5546875" customWidth="1"/>
    <col min="5" max="6" width="13.33203125" customWidth="1"/>
    <col min="7" max="8" width="12.5546875" customWidth="1"/>
  </cols>
  <sheetData>
    <row r="1" spans="1:18" ht="23.4" customHeight="1" x14ac:dyDescent="0.25">
      <c r="A1" s="75"/>
      <c r="B1" s="88" t="s">
        <v>530</v>
      </c>
      <c r="C1" s="87"/>
      <c r="D1" s="87"/>
      <c r="E1" s="76"/>
      <c r="F1" s="76"/>
      <c r="G1" s="76"/>
      <c r="H1" s="76"/>
      <c r="I1" s="76"/>
      <c r="J1" s="77"/>
      <c r="K1" s="77"/>
      <c r="L1" s="77"/>
      <c r="M1" s="77"/>
      <c r="N1" s="77"/>
      <c r="O1" s="77"/>
      <c r="P1" s="77"/>
      <c r="Q1" s="77"/>
      <c r="R1" s="77"/>
    </row>
    <row r="2" spans="1:18" ht="23.4" customHeight="1" x14ac:dyDescent="0.25">
      <c r="A2" s="75"/>
      <c r="B2" s="78"/>
      <c r="C2" s="78"/>
      <c r="D2" s="76"/>
      <c r="E2" s="76"/>
      <c r="F2" s="76"/>
      <c r="G2" s="76"/>
      <c r="H2" s="76"/>
      <c r="I2" s="76"/>
      <c r="J2" s="77"/>
      <c r="K2" s="77"/>
      <c r="L2" s="77"/>
      <c r="M2" s="77"/>
      <c r="N2" s="77"/>
      <c r="O2" s="77"/>
      <c r="P2" s="77"/>
      <c r="Q2" s="77"/>
      <c r="R2" s="77"/>
    </row>
    <row r="3" spans="1:18" ht="23.4" customHeight="1" x14ac:dyDescent="0.25">
      <c r="A3" s="79"/>
      <c r="B3" s="86" t="s">
        <v>1</v>
      </c>
      <c r="C3" s="87"/>
      <c r="D3" s="87"/>
      <c r="E3" s="76"/>
      <c r="F3" s="76"/>
      <c r="G3" s="76"/>
      <c r="H3" s="76"/>
      <c r="I3" s="81" t="s">
        <v>2</v>
      </c>
      <c r="J3" s="82">
        <v>150</v>
      </c>
      <c r="K3" s="82">
        <v>200</v>
      </c>
      <c r="L3" s="82">
        <v>250</v>
      </c>
      <c r="M3" s="82">
        <v>300</v>
      </c>
      <c r="N3" s="82">
        <v>350</v>
      </c>
      <c r="O3" s="82">
        <v>400</v>
      </c>
      <c r="P3" s="82">
        <v>450</v>
      </c>
      <c r="Q3" s="82">
        <v>500</v>
      </c>
      <c r="R3" s="82">
        <v>550</v>
      </c>
    </row>
    <row r="4" spans="1:18" ht="22.5" customHeight="1" x14ac:dyDescent="0.25">
      <c r="A4" s="79"/>
      <c r="B4" s="85" t="s">
        <v>3</v>
      </c>
      <c r="C4" s="90">
        <v>46154</v>
      </c>
      <c r="D4" s="87"/>
      <c r="E4" s="76"/>
      <c r="F4" s="76"/>
      <c r="G4" s="76"/>
      <c r="H4" s="76"/>
      <c r="I4" s="81" t="s">
        <v>4</v>
      </c>
      <c r="J4" s="77">
        <f>COUNTIF($I$8:$I$57,"150")</f>
        <v>0</v>
      </c>
      <c r="K4" s="77">
        <f>COUNTIF($I$8:$I$57,"200")</f>
        <v>0</v>
      </c>
      <c r="L4" s="77">
        <f>COUNTIF($I$8:$I$57,"250")</f>
        <v>0</v>
      </c>
      <c r="M4" s="77">
        <f>COUNTIF($I$8:$I$57,"300")</f>
        <v>0</v>
      </c>
      <c r="N4" s="77">
        <f>COUNTIF($I$8:$I$57,"350")</f>
        <v>0</v>
      </c>
      <c r="O4" s="77">
        <f>COUNTIF($I$8:$I$57,"400")</f>
        <v>0</v>
      </c>
      <c r="P4" s="77">
        <f>COUNTIF($I$8:$I$57,"450")</f>
        <v>0</v>
      </c>
      <c r="Q4" s="77">
        <f>COUNTIF($I$8:$I$57,"500")</f>
        <v>0</v>
      </c>
      <c r="R4" s="77">
        <f>COUNTIF($I$8:$I$57,"550")</f>
        <v>0</v>
      </c>
    </row>
    <row r="5" spans="1:18" ht="22.5" customHeight="1" x14ac:dyDescent="0.25">
      <c r="A5" s="79"/>
      <c r="B5" s="80"/>
      <c r="C5" s="80"/>
      <c r="D5" s="80"/>
      <c r="E5" s="76"/>
      <c r="F5" s="76"/>
      <c r="G5" s="76"/>
      <c r="H5" s="76"/>
      <c r="I5" s="76"/>
      <c r="J5" s="77"/>
      <c r="K5" s="77"/>
      <c r="L5" s="77"/>
      <c r="M5" s="77"/>
      <c r="N5" s="77"/>
      <c r="O5" s="77"/>
      <c r="P5" s="77"/>
      <c r="Q5" s="77"/>
      <c r="R5" s="77"/>
    </row>
    <row r="6" spans="1:18" ht="23.4" customHeight="1" x14ac:dyDescent="0.25">
      <c r="A6" s="75"/>
      <c r="B6" s="89" t="s">
        <v>5</v>
      </c>
      <c r="C6" s="83"/>
      <c r="D6" s="76"/>
      <c r="E6" s="76"/>
      <c r="F6" s="76"/>
      <c r="G6" s="76"/>
      <c r="H6" s="89" t="s">
        <v>5</v>
      </c>
      <c r="I6" s="76"/>
      <c r="J6" s="77"/>
      <c r="K6" s="77"/>
      <c r="L6" s="77"/>
      <c r="M6" s="77"/>
      <c r="N6" s="77"/>
      <c r="O6" s="77"/>
      <c r="P6" s="77"/>
      <c r="Q6" s="77"/>
      <c r="R6" s="77"/>
    </row>
    <row r="7" spans="1:18" ht="13.95" customHeight="1" x14ac:dyDescent="0.25">
      <c r="A7" s="79"/>
      <c r="B7" s="87"/>
      <c r="C7" s="84" t="s">
        <v>6</v>
      </c>
      <c r="D7" s="84" t="s">
        <v>7</v>
      </c>
      <c r="E7" s="84" t="s">
        <v>8</v>
      </c>
      <c r="F7" s="84" t="s">
        <v>9</v>
      </c>
      <c r="G7" s="84" t="s">
        <v>10</v>
      </c>
      <c r="H7" s="87"/>
      <c r="I7" s="84" t="s">
        <v>11</v>
      </c>
      <c r="J7" s="77"/>
      <c r="K7" s="77"/>
      <c r="L7" s="77"/>
      <c r="M7" s="77"/>
      <c r="N7" s="77"/>
      <c r="O7" s="77"/>
      <c r="P7" s="77"/>
      <c r="Q7" s="77"/>
      <c r="R7" s="77"/>
    </row>
    <row r="8" spans="1:18" x14ac:dyDescent="0.25">
      <c r="A8" s="1" t="s">
        <v>12</v>
      </c>
      <c r="B8">
        <f>'24-25'!H8</f>
        <v>122</v>
      </c>
      <c r="G8">
        <f t="shared" ref="G8:G39" si="0">SUM(C8:F8)</f>
        <v>0</v>
      </c>
      <c r="H8">
        <f t="shared" ref="H8:H39" si="1">B8+G8</f>
        <v>122</v>
      </c>
      <c r="I8" s="32"/>
    </row>
    <row r="9" spans="1:18" x14ac:dyDescent="0.25">
      <c r="A9" s="1" t="s">
        <v>13</v>
      </c>
      <c r="B9">
        <f>'24-25'!H9</f>
        <v>107</v>
      </c>
      <c r="G9">
        <f t="shared" si="0"/>
        <v>0</v>
      </c>
      <c r="H9">
        <f t="shared" si="1"/>
        <v>107</v>
      </c>
      <c r="I9" s="32"/>
    </row>
    <row r="10" spans="1:18" x14ac:dyDescent="0.25">
      <c r="A10" s="1" t="s">
        <v>14</v>
      </c>
      <c r="B10">
        <f>'24-25'!H10</f>
        <v>121</v>
      </c>
      <c r="G10">
        <f t="shared" si="0"/>
        <v>0</v>
      </c>
      <c r="H10">
        <f t="shared" si="1"/>
        <v>121</v>
      </c>
      <c r="I10" s="32"/>
    </row>
    <row r="11" spans="1:18" x14ac:dyDescent="0.25">
      <c r="A11" s="1" t="s">
        <v>534</v>
      </c>
      <c r="B11">
        <f>'24-25'!H11</f>
        <v>15</v>
      </c>
      <c r="G11">
        <f t="shared" si="0"/>
        <v>0</v>
      </c>
      <c r="H11">
        <f t="shared" si="1"/>
        <v>15</v>
      </c>
      <c r="I11" s="32"/>
    </row>
    <row r="12" spans="1:18" x14ac:dyDescent="0.25">
      <c r="A12" s="1" t="s">
        <v>16</v>
      </c>
      <c r="B12">
        <f>'24-25'!H12</f>
        <v>20</v>
      </c>
      <c r="G12">
        <f t="shared" si="0"/>
        <v>0</v>
      </c>
      <c r="H12">
        <f t="shared" si="1"/>
        <v>20</v>
      </c>
      <c r="I12" s="32"/>
    </row>
    <row r="13" spans="1:18" x14ac:dyDescent="0.25">
      <c r="A13" s="1" t="s">
        <v>17</v>
      </c>
      <c r="B13">
        <f>'24-25'!H13</f>
        <v>99</v>
      </c>
      <c r="G13">
        <f t="shared" si="0"/>
        <v>0</v>
      </c>
      <c r="H13">
        <f t="shared" si="1"/>
        <v>99</v>
      </c>
      <c r="I13" s="32"/>
    </row>
    <row r="14" spans="1:18" x14ac:dyDescent="0.25">
      <c r="A14" s="1" t="s">
        <v>18</v>
      </c>
      <c r="B14" t="s">
        <v>19</v>
      </c>
      <c r="F14">
        <v>1</v>
      </c>
      <c r="G14">
        <f t="shared" si="0"/>
        <v>1</v>
      </c>
      <c r="H14" t="e">
        <f t="shared" si="1"/>
        <v>#VALUE!</v>
      </c>
      <c r="I14" s="32"/>
    </row>
    <row r="15" spans="1:18" x14ac:dyDescent="0.25">
      <c r="A15" s="1" t="s">
        <v>20</v>
      </c>
      <c r="B15">
        <f>'24-25'!H14</f>
        <v>155</v>
      </c>
      <c r="G15">
        <f t="shared" si="0"/>
        <v>0</v>
      </c>
      <c r="H15">
        <f t="shared" si="1"/>
        <v>155</v>
      </c>
      <c r="I15" s="32"/>
    </row>
    <row r="16" spans="1:18" x14ac:dyDescent="0.25">
      <c r="A16" s="1" t="s">
        <v>21</v>
      </c>
      <c r="B16">
        <f>'24-25'!H15</f>
        <v>285</v>
      </c>
      <c r="G16">
        <f t="shared" si="0"/>
        <v>0</v>
      </c>
      <c r="H16">
        <f t="shared" si="1"/>
        <v>285</v>
      </c>
      <c r="I16" s="32"/>
    </row>
    <row r="17" spans="1:9" x14ac:dyDescent="0.25">
      <c r="A17" s="1" t="s">
        <v>22</v>
      </c>
      <c r="B17">
        <f>'24-25'!H16</f>
        <v>120</v>
      </c>
      <c r="G17">
        <f t="shared" si="0"/>
        <v>0</v>
      </c>
      <c r="H17">
        <f t="shared" si="1"/>
        <v>120</v>
      </c>
      <c r="I17" s="32"/>
    </row>
    <row r="18" spans="1:9" x14ac:dyDescent="0.25">
      <c r="A18" s="1" t="s">
        <v>535</v>
      </c>
      <c r="B18">
        <f>'24-25'!H17</f>
        <v>72</v>
      </c>
      <c r="F18">
        <v>1</v>
      </c>
      <c r="G18">
        <f t="shared" si="0"/>
        <v>1</v>
      </c>
      <c r="H18">
        <f t="shared" si="1"/>
        <v>73</v>
      </c>
      <c r="I18" s="32"/>
    </row>
    <row r="19" spans="1:9" x14ac:dyDescent="0.25">
      <c r="A19" s="1" t="s">
        <v>24</v>
      </c>
      <c r="B19">
        <f>'24-25'!H18</f>
        <v>52</v>
      </c>
      <c r="G19">
        <f t="shared" si="0"/>
        <v>0</v>
      </c>
      <c r="H19">
        <f t="shared" si="1"/>
        <v>52</v>
      </c>
      <c r="I19" s="33"/>
    </row>
    <row r="20" spans="1:9" x14ac:dyDescent="0.25">
      <c r="A20" s="1" t="s">
        <v>25</v>
      </c>
      <c r="B20">
        <f>'24-25'!H19</f>
        <v>356</v>
      </c>
      <c r="F20">
        <v>2</v>
      </c>
      <c r="G20">
        <f t="shared" si="0"/>
        <v>2</v>
      </c>
      <c r="H20">
        <f t="shared" si="1"/>
        <v>358</v>
      </c>
      <c r="I20" s="33"/>
    </row>
    <row r="21" spans="1:9" x14ac:dyDescent="0.25">
      <c r="A21" s="1" t="s">
        <v>26</v>
      </c>
      <c r="B21">
        <f>'24-25'!H20</f>
        <v>392</v>
      </c>
      <c r="G21">
        <f t="shared" si="0"/>
        <v>0</v>
      </c>
      <c r="H21">
        <f t="shared" si="1"/>
        <v>392</v>
      </c>
      <c r="I21" s="33"/>
    </row>
    <row r="22" spans="1:9" x14ac:dyDescent="0.25">
      <c r="A22" s="1" t="s">
        <v>27</v>
      </c>
      <c r="B22">
        <f>'24-25'!H21</f>
        <v>181</v>
      </c>
      <c r="G22">
        <f t="shared" si="0"/>
        <v>0</v>
      </c>
      <c r="H22">
        <f t="shared" si="1"/>
        <v>181</v>
      </c>
      <c r="I22" s="33"/>
    </row>
    <row r="23" spans="1:9" x14ac:dyDescent="0.25">
      <c r="A23" s="1" t="s">
        <v>28</v>
      </c>
      <c r="B23">
        <f>'24-25'!H22</f>
        <v>83</v>
      </c>
      <c r="F23">
        <v>2</v>
      </c>
      <c r="G23">
        <f t="shared" si="0"/>
        <v>2</v>
      </c>
      <c r="H23">
        <f t="shared" si="1"/>
        <v>85</v>
      </c>
      <c r="I23" s="33"/>
    </row>
    <row r="24" spans="1:9" x14ac:dyDescent="0.25">
      <c r="A24" s="1" t="s">
        <v>29</v>
      </c>
      <c r="B24">
        <f>'24-25'!H23</f>
        <v>140</v>
      </c>
      <c r="F24">
        <v>2</v>
      </c>
      <c r="G24">
        <f t="shared" si="0"/>
        <v>2</v>
      </c>
      <c r="H24">
        <f t="shared" si="1"/>
        <v>142</v>
      </c>
      <c r="I24" s="33"/>
    </row>
    <row r="25" spans="1:9" x14ac:dyDescent="0.25">
      <c r="A25" s="1" t="s">
        <v>30</v>
      </c>
      <c r="B25">
        <f>'24-25'!H24</f>
        <v>196</v>
      </c>
      <c r="F25">
        <v>1</v>
      </c>
      <c r="G25">
        <f t="shared" si="0"/>
        <v>1</v>
      </c>
      <c r="H25">
        <f t="shared" si="1"/>
        <v>197</v>
      </c>
      <c r="I25" s="33"/>
    </row>
    <row r="26" spans="1:9" x14ac:dyDescent="0.25">
      <c r="A26" s="1" t="s">
        <v>31</v>
      </c>
      <c r="B26">
        <f>'24-25'!H25</f>
        <v>364</v>
      </c>
      <c r="G26">
        <f t="shared" si="0"/>
        <v>0</v>
      </c>
      <c r="H26">
        <f t="shared" si="1"/>
        <v>364</v>
      </c>
      <c r="I26" s="33"/>
    </row>
    <row r="27" spans="1:9" x14ac:dyDescent="0.25">
      <c r="A27" s="1" t="s">
        <v>32</v>
      </c>
      <c r="B27">
        <f>'24-25'!H26</f>
        <v>364</v>
      </c>
      <c r="G27">
        <f t="shared" si="0"/>
        <v>0</v>
      </c>
      <c r="H27">
        <f t="shared" si="1"/>
        <v>364</v>
      </c>
    </row>
    <row r="28" spans="1:9" x14ac:dyDescent="0.25">
      <c r="A28" t="s">
        <v>533</v>
      </c>
      <c r="B28">
        <f>'24-25'!H27</f>
        <v>2</v>
      </c>
      <c r="G28">
        <f t="shared" si="0"/>
        <v>0</v>
      </c>
      <c r="H28">
        <f t="shared" si="1"/>
        <v>2</v>
      </c>
      <c r="I28" s="33"/>
    </row>
    <row r="29" spans="1:9" x14ac:dyDescent="0.25">
      <c r="A29" s="1" t="s">
        <v>34</v>
      </c>
      <c r="B29">
        <f>'24-25'!H28</f>
        <v>203</v>
      </c>
      <c r="F29">
        <v>2</v>
      </c>
      <c r="G29">
        <f t="shared" si="0"/>
        <v>2</v>
      </c>
      <c r="H29">
        <f t="shared" si="1"/>
        <v>205</v>
      </c>
      <c r="I29" s="33"/>
    </row>
    <row r="30" spans="1:9" x14ac:dyDescent="0.25">
      <c r="A30" s="1" t="s">
        <v>35</v>
      </c>
      <c r="B30">
        <f>'24-25'!H29</f>
        <v>164</v>
      </c>
      <c r="G30">
        <f t="shared" si="0"/>
        <v>0</v>
      </c>
      <c r="H30">
        <f t="shared" si="1"/>
        <v>164</v>
      </c>
      <c r="I30" s="33"/>
    </row>
    <row r="31" spans="1:9" x14ac:dyDescent="0.25">
      <c r="A31" s="1" t="s">
        <v>36</v>
      </c>
      <c r="B31">
        <f>'24-25'!H30</f>
        <v>414</v>
      </c>
      <c r="G31">
        <f t="shared" si="0"/>
        <v>0</v>
      </c>
      <c r="H31">
        <f t="shared" si="1"/>
        <v>414</v>
      </c>
      <c r="I31" s="33"/>
    </row>
    <row r="32" spans="1:9" x14ac:dyDescent="0.25">
      <c r="A32" s="1" t="s">
        <v>37</v>
      </c>
      <c r="B32">
        <f>'24-25'!H31</f>
        <v>109</v>
      </c>
      <c r="G32">
        <f t="shared" si="0"/>
        <v>0</v>
      </c>
      <c r="H32">
        <f t="shared" si="1"/>
        <v>109</v>
      </c>
      <c r="I32" s="33"/>
    </row>
    <row r="33" spans="1:9" x14ac:dyDescent="0.25">
      <c r="A33" s="1" t="s">
        <v>38</v>
      </c>
      <c r="B33">
        <f>'24-25'!H32</f>
        <v>87</v>
      </c>
      <c r="G33">
        <f t="shared" si="0"/>
        <v>0</v>
      </c>
      <c r="H33">
        <f t="shared" si="1"/>
        <v>87</v>
      </c>
      <c r="I33" s="33"/>
    </row>
    <row r="34" spans="1:9" x14ac:dyDescent="0.25">
      <c r="A34" s="1" t="s">
        <v>39</v>
      </c>
      <c r="B34">
        <f>'24-25'!H33</f>
        <v>167</v>
      </c>
      <c r="F34">
        <v>2</v>
      </c>
      <c r="G34">
        <f t="shared" si="0"/>
        <v>2</v>
      </c>
      <c r="H34">
        <f t="shared" si="1"/>
        <v>169</v>
      </c>
      <c r="I34" s="33"/>
    </row>
    <row r="35" spans="1:9" x14ac:dyDescent="0.25">
      <c r="A35" s="1" t="s">
        <v>40</v>
      </c>
      <c r="B35">
        <f>'24-25'!H34</f>
        <v>62</v>
      </c>
      <c r="F35">
        <v>2</v>
      </c>
      <c r="G35">
        <f t="shared" si="0"/>
        <v>2</v>
      </c>
      <c r="H35">
        <f t="shared" si="1"/>
        <v>64</v>
      </c>
      <c r="I35" s="33"/>
    </row>
    <row r="36" spans="1:9" x14ac:dyDescent="0.25">
      <c r="A36" s="1" t="s">
        <v>532</v>
      </c>
      <c r="B36">
        <f>'24-25'!H35</f>
        <v>3</v>
      </c>
      <c r="G36">
        <f t="shared" si="0"/>
        <v>0</v>
      </c>
      <c r="H36">
        <f t="shared" si="1"/>
        <v>3</v>
      </c>
      <c r="I36" s="33"/>
    </row>
    <row r="37" spans="1:9" x14ac:dyDescent="0.25">
      <c r="A37" s="1" t="s">
        <v>42</v>
      </c>
      <c r="B37">
        <f>'24-25'!H36</f>
        <v>171</v>
      </c>
      <c r="G37">
        <f t="shared" si="0"/>
        <v>0</v>
      </c>
      <c r="H37">
        <f t="shared" si="1"/>
        <v>171</v>
      </c>
      <c r="I37" s="33"/>
    </row>
    <row r="38" spans="1:9" x14ac:dyDescent="0.25">
      <c r="A38" s="1" t="s">
        <v>43</v>
      </c>
      <c r="B38">
        <f>'24-25'!H37</f>
        <v>171</v>
      </c>
      <c r="F38">
        <v>2</v>
      </c>
      <c r="G38">
        <f t="shared" si="0"/>
        <v>2</v>
      </c>
      <c r="H38">
        <f t="shared" si="1"/>
        <v>173</v>
      </c>
      <c r="I38" s="33"/>
    </row>
    <row r="39" spans="1:9" x14ac:dyDescent="0.25">
      <c r="A39" s="1" t="s">
        <v>44</v>
      </c>
      <c r="B39">
        <f>'24-25'!H38</f>
        <v>362</v>
      </c>
      <c r="G39">
        <f t="shared" si="0"/>
        <v>0</v>
      </c>
      <c r="H39">
        <f t="shared" si="1"/>
        <v>362</v>
      </c>
      <c r="I39" s="33"/>
    </row>
    <row r="40" spans="1:9" x14ac:dyDescent="0.25">
      <c r="A40" s="1" t="s">
        <v>45</v>
      </c>
      <c r="B40" t="s">
        <v>19</v>
      </c>
      <c r="F40">
        <v>1</v>
      </c>
      <c r="G40">
        <f t="shared" ref="G40:G59" si="2">SUM(C40:F40)</f>
        <v>1</v>
      </c>
      <c r="H40" t="e">
        <f t="shared" ref="H40:H59" si="3">B40+G40</f>
        <v>#VALUE!</v>
      </c>
      <c r="I40" s="33"/>
    </row>
    <row r="41" spans="1:9" x14ac:dyDescent="0.25">
      <c r="A41" s="1" t="s">
        <v>46</v>
      </c>
      <c r="B41">
        <f>'24-25'!H39</f>
        <v>127</v>
      </c>
      <c r="G41">
        <f t="shared" si="2"/>
        <v>0</v>
      </c>
      <c r="H41">
        <f t="shared" si="3"/>
        <v>127</v>
      </c>
      <c r="I41" s="33"/>
    </row>
    <row r="42" spans="1:9" x14ac:dyDescent="0.25">
      <c r="A42" s="1" t="s">
        <v>47</v>
      </c>
      <c r="B42">
        <f>'24-25'!H40</f>
        <v>221</v>
      </c>
      <c r="G42">
        <f t="shared" si="2"/>
        <v>0</v>
      </c>
      <c r="H42">
        <f t="shared" si="3"/>
        <v>221</v>
      </c>
      <c r="I42" s="33"/>
    </row>
    <row r="43" spans="1:9" x14ac:dyDescent="0.25">
      <c r="A43" s="1" t="s">
        <v>48</v>
      </c>
      <c r="B43">
        <f>'24-25'!H41</f>
        <v>147</v>
      </c>
      <c r="G43">
        <f t="shared" si="2"/>
        <v>0</v>
      </c>
      <c r="H43">
        <f t="shared" si="3"/>
        <v>147</v>
      </c>
      <c r="I43" s="33"/>
    </row>
    <row r="44" spans="1:9" x14ac:dyDescent="0.25">
      <c r="A44" s="1" t="s">
        <v>49</v>
      </c>
      <c r="B44">
        <f>'24-25'!H42</f>
        <v>239</v>
      </c>
      <c r="G44">
        <f t="shared" si="2"/>
        <v>0</v>
      </c>
      <c r="H44">
        <f t="shared" si="3"/>
        <v>239</v>
      </c>
      <c r="I44" s="33"/>
    </row>
    <row r="45" spans="1:9" x14ac:dyDescent="0.25">
      <c r="A45" s="1" t="s">
        <v>50</v>
      </c>
      <c r="B45">
        <f>'24-25'!H43</f>
        <v>47</v>
      </c>
      <c r="G45">
        <f t="shared" si="2"/>
        <v>0</v>
      </c>
      <c r="H45">
        <f t="shared" si="3"/>
        <v>47</v>
      </c>
      <c r="I45" s="33"/>
    </row>
    <row r="46" spans="1:9" x14ac:dyDescent="0.25">
      <c r="A46" s="1" t="s">
        <v>51</v>
      </c>
      <c r="B46">
        <f>'24-25'!H44</f>
        <v>148</v>
      </c>
      <c r="G46">
        <f t="shared" si="2"/>
        <v>0</v>
      </c>
      <c r="H46">
        <f t="shared" si="3"/>
        <v>148</v>
      </c>
      <c r="I46" s="33"/>
    </row>
    <row r="47" spans="1:9" x14ac:dyDescent="0.25">
      <c r="A47" s="1" t="s">
        <v>52</v>
      </c>
      <c r="B47">
        <f>'24-25'!H45</f>
        <v>423</v>
      </c>
      <c r="F47">
        <v>2</v>
      </c>
      <c r="G47">
        <f t="shared" si="2"/>
        <v>2</v>
      </c>
      <c r="H47">
        <f t="shared" si="3"/>
        <v>425</v>
      </c>
      <c r="I47" s="33"/>
    </row>
    <row r="48" spans="1:9" x14ac:dyDescent="0.25">
      <c r="A48" s="1" t="s">
        <v>53</v>
      </c>
      <c r="B48">
        <f>'24-25'!H46</f>
        <v>293</v>
      </c>
      <c r="G48">
        <f t="shared" si="2"/>
        <v>0</v>
      </c>
      <c r="H48">
        <f t="shared" si="3"/>
        <v>293</v>
      </c>
      <c r="I48" s="33"/>
    </row>
    <row r="49" spans="1:9" x14ac:dyDescent="0.25">
      <c r="A49" s="1" t="s">
        <v>54</v>
      </c>
      <c r="B49">
        <f>'24-25'!H47</f>
        <v>183</v>
      </c>
      <c r="F49">
        <v>2</v>
      </c>
      <c r="G49">
        <f t="shared" si="2"/>
        <v>2</v>
      </c>
      <c r="H49">
        <f t="shared" si="3"/>
        <v>185</v>
      </c>
      <c r="I49" s="32"/>
    </row>
    <row r="50" spans="1:9" x14ac:dyDescent="0.25">
      <c r="A50" s="1" t="s">
        <v>55</v>
      </c>
      <c r="B50">
        <f>'24-25'!H48</f>
        <v>223</v>
      </c>
      <c r="F50">
        <v>2</v>
      </c>
      <c r="G50">
        <f t="shared" si="2"/>
        <v>2</v>
      </c>
      <c r="H50">
        <f t="shared" si="3"/>
        <v>225</v>
      </c>
      <c r="I50" s="32"/>
    </row>
    <row r="51" spans="1:9" x14ac:dyDescent="0.25">
      <c r="A51" s="1" t="s">
        <v>56</v>
      </c>
      <c r="B51">
        <f>'24-25'!H49</f>
        <v>318</v>
      </c>
      <c r="G51">
        <f t="shared" si="2"/>
        <v>0</v>
      </c>
      <c r="H51">
        <f t="shared" si="3"/>
        <v>318</v>
      </c>
      <c r="I51" s="32"/>
    </row>
    <row r="52" spans="1:9" x14ac:dyDescent="0.25">
      <c r="A52" s="1" t="s">
        <v>57</v>
      </c>
      <c r="B52">
        <f>'24-25'!H50</f>
        <v>90</v>
      </c>
      <c r="G52">
        <f t="shared" si="2"/>
        <v>0</v>
      </c>
      <c r="H52">
        <f t="shared" si="3"/>
        <v>90</v>
      </c>
      <c r="I52" s="32"/>
    </row>
    <row r="53" spans="1:9" x14ac:dyDescent="0.25">
      <c r="A53" s="1" t="s">
        <v>531</v>
      </c>
      <c r="B53">
        <f>'24-25'!H51</f>
        <v>167</v>
      </c>
      <c r="G53">
        <f t="shared" si="2"/>
        <v>0</v>
      </c>
      <c r="H53">
        <f t="shared" si="3"/>
        <v>167</v>
      </c>
      <c r="I53" s="32"/>
    </row>
    <row r="54" spans="1:9" x14ac:dyDescent="0.25">
      <c r="A54" s="1" t="s">
        <v>59</v>
      </c>
      <c r="B54">
        <f>'24-25'!H52</f>
        <v>50</v>
      </c>
      <c r="G54">
        <f t="shared" si="2"/>
        <v>0</v>
      </c>
      <c r="H54">
        <f t="shared" si="3"/>
        <v>50</v>
      </c>
      <c r="I54" s="32"/>
    </row>
    <row r="55" spans="1:9" x14ac:dyDescent="0.25">
      <c r="A55" s="1" t="s">
        <v>60</v>
      </c>
      <c r="B55">
        <f>'24-25'!H53</f>
        <v>530</v>
      </c>
      <c r="F55">
        <v>2</v>
      </c>
      <c r="G55">
        <f t="shared" si="2"/>
        <v>2</v>
      </c>
      <c r="H55">
        <f t="shared" si="3"/>
        <v>532</v>
      </c>
      <c r="I55" s="32"/>
    </row>
    <row r="56" spans="1:9" x14ac:dyDescent="0.25">
      <c r="A56" s="1" t="s">
        <v>61</v>
      </c>
      <c r="B56">
        <f>'24-25'!H54</f>
        <v>289</v>
      </c>
      <c r="F56">
        <v>1</v>
      </c>
      <c r="G56">
        <f t="shared" si="2"/>
        <v>1</v>
      </c>
      <c r="H56">
        <f t="shared" si="3"/>
        <v>290</v>
      </c>
      <c r="I56" s="32"/>
    </row>
    <row r="57" spans="1:9" x14ac:dyDescent="0.25">
      <c r="A57" s="1" t="s">
        <v>62</v>
      </c>
      <c r="B57">
        <f>'24-25'!H55</f>
        <v>168</v>
      </c>
      <c r="F57">
        <v>2</v>
      </c>
      <c r="G57">
        <f t="shared" si="2"/>
        <v>2</v>
      </c>
      <c r="H57">
        <f t="shared" si="3"/>
        <v>170</v>
      </c>
      <c r="I57" s="32"/>
    </row>
    <row r="58" spans="1:9" x14ac:dyDescent="0.25">
      <c r="A58" s="1" t="s">
        <v>63</v>
      </c>
      <c r="B58">
        <f>'24-25'!H56</f>
        <v>330</v>
      </c>
      <c r="F58">
        <v>2</v>
      </c>
      <c r="G58">
        <f t="shared" si="2"/>
        <v>2</v>
      </c>
      <c r="H58">
        <f t="shared" si="3"/>
        <v>332</v>
      </c>
      <c r="I58" s="32"/>
    </row>
    <row r="59" spans="1:9" x14ac:dyDescent="0.25">
      <c r="A59" s="1" t="s">
        <v>64</v>
      </c>
      <c r="B59">
        <f>'24-25'!H57</f>
        <v>35</v>
      </c>
      <c r="F59">
        <v>2</v>
      </c>
      <c r="G59">
        <f t="shared" si="2"/>
        <v>2</v>
      </c>
      <c r="H59">
        <f t="shared" si="3"/>
        <v>37</v>
      </c>
      <c r="I59" s="32"/>
    </row>
    <row r="64" spans="1:9" ht="41.25" customHeight="1" x14ac:dyDescent="0.25">
      <c r="B64" s="73"/>
      <c r="C64" s="72"/>
    </row>
    <row r="66" spans="2:2" ht="12.75" customHeight="1" x14ac:dyDescent="0.25">
      <c r="B66" s="74"/>
    </row>
  </sheetData>
  <mergeCells count="5">
    <mergeCell ref="B3:D3"/>
    <mergeCell ref="B1:D1"/>
    <mergeCell ref="H6:H7"/>
    <mergeCell ref="B6:B7"/>
    <mergeCell ref="C4:D4"/>
  </mergeCells>
  <conditionalFormatting sqref="A8:R60">
    <cfRule type="expression" dxfId="0" priority="1">
      <formula>MOD(ROW(),2)=0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12-13</vt:lpstr>
      <vt:lpstr>13-14</vt:lpstr>
      <vt:lpstr>14-15</vt:lpstr>
      <vt:lpstr>15-16</vt:lpstr>
      <vt:lpstr>17-18</vt:lpstr>
      <vt:lpstr>21-22</vt:lpstr>
      <vt:lpstr>22-23</vt:lpstr>
      <vt:lpstr>23-24</vt:lpstr>
      <vt:lpstr>24-25</vt:lpstr>
      <vt:lpstr>25-26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MMN</dc:creator>
  <cp:lastModifiedBy>Flaig, Tim</cp:lastModifiedBy>
  <dcterms:created xsi:type="dcterms:W3CDTF">2002-08-24T16:02:59Z</dcterms:created>
  <dcterms:modified xsi:type="dcterms:W3CDTF">2026-05-12T08:38:34Z</dcterms:modified>
</cp:coreProperties>
</file>